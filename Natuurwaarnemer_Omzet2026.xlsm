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DATASCHIJF\DeNatuurwaarnemer\Boekhouden\ExcelBoekhoudpakket2025HL\"/>
    </mc:Choice>
  </mc:AlternateContent>
  <xr:revisionPtr revIDLastSave="0" documentId="13_ncr:1_{BAD0B918-88B0-470F-AF01-447AA890BCE2}" xr6:coauthVersionLast="47" xr6:coauthVersionMax="47" xr10:uidLastSave="{00000000-0000-0000-0000-000000000000}"/>
  <bookViews>
    <workbookView xWindow="8330" yWindow="2230" windowWidth="28800" windowHeight="15370" tabRatio="932" activeTab="9" xr2:uid="{00000000-000D-0000-FFFF-FFFF00000000}"/>
  </bookViews>
  <sheets>
    <sheet name="Basisinstellingen" sheetId="12" r:id="rId1"/>
    <sheet name="Factuur maken" sheetId="15" r:id="rId2"/>
    <sheet name="Verkoop &amp; Opbrengsten" sheetId="1" r:id="rId3"/>
    <sheet name="Inkoop &amp; Uitgaven" sheetId="3" r:id="rId4"/>
    <sheet name="Beginbalans" sheetId="10" state="hidden" r:id="rId5"/>
    <sheet name="Categorieën" sheetId="8" state="hidden" r:id="rId6"/>
    <sheet name="Financieel overzicht" sheetId="6" r:id="rId7"/>
    <sheet name="BTW (maand)" sheetId="11" state="hidden" r:id="rId8"/>
    <sheet name="BTW (jaar)" sheetId="17" state="hidden" r:id="rId9"/>
    <sheet name="BTW (kwartaal)" sheetId="16" r:id="rId10"/>
    <sheet name="Relaties" sheetId="5" r:id="rId11"/>
    <sheet name="Exporteer naar e-Boekhouden.nl" sheetId="18" state="hidden" r:id="rId12"/>
  </sheets>
  <functionGroups builtInGroupCount="19"/>
  <definedNames>
    <definedName name="_xlnm._FilterDatabase" localSheetId="5" hidden="1">Categorieën!$G$6:$G$37</definedName>
    <definedName name="_xlnm._FilterDatabase" localSheetId="3" hidden="1">'Inkoop &amp; Uitgaven'!$B$5:$I$5</definedName>
    <definedName name="_xlnm._FilterDatabase" localSheetId="2" hidden="1">'Verkoop &amp; Opbrengsten'!$B$5:$N$10</definedName>
    <definedName name="aaaaaaaaaa">'Financieel overzicht'!#REF!</definedName>
    <definedName name="Aantal">'Factuur maken'!$B$17:$B$34</definedName>
    <definedName name="Betaalstatus">'Financieel overzicht'!$B$20:$B$22</definedName>
    <definedName name="Betalingsstatus">'Financieel overzicht'!$B$22:$B$22</definedName>
    <definedName name="btwtarieven">'Financieel overzicht'!$B$31:$B$33</definedName>
    <definedName name="categorielijst">Categorieën!$J$7,Categorieën!$J$8,Categorieën!$J$9,Categorieën!#REF!,Categorieën!#REF!,Categorieën!$J$10,Categorieën!$J$11,Categorieën!#REF!,Categorieën!$J$12,Categorieën!#REF!,Categorieën!$J$13,Categorieën!$J$14,Categorieën!#REF!,Categorieën!#REF!,Categorieën!$J$16,Categorieën!$J$17,Categorieën!$J$18,Categorieën!$J$19,Categorieën!$J$20,Categorieën!$J$21,Categorieën!$J$22,Categorieën!$J$23,Categorieën!$J$24,Categorieën!$J$26,Categorieën!$J$25,Categorieën!$J$27,Categorieën!$J$28,Categorieën!$J$29,Categorieën!$J$30,Categorieën!$J$31,Categorieën!$J$32,Categorieën!$J$33,Categorieën!$J$34,Categorieën!$J$36,Categorieën!$J$37</definedName>
    <definedName name="grootboeks">Categorieën!$C$6:$C$71</definedName>
    <definedName name="Offertestatus" localSheetId="8">'Financieel overzicht'!#REF!</definedName>
    <definedName name="Offertestatus" localSheetId="9">'Financieel overzicht'!#REF!</definedName>
    <definedName name="Offertestatus">'Financieel overzicht'!#REF!</definedName>
    <definedName name="soort">'Financieel overzicht'!$B$26:$B$28</definedName>
    <definedName name="Statusofferte">'Financieel overzicht'!$B$25:$B$26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5" l="1"/>
  <c r="B5" i="15"/>
  <c r="E17" i="8" l="1"/>
  <c r="E9" i="8"/>
  <c r="G1" i="3"/>
  <c r="G1" i="1"/>
  <c r="N7" i="3" l="1"/>
  <c r="O7" i="3"/>
  <c r="N8" i="3"/>
  <c r="O8" i="3"/>
  <c r="N9" i="3"/>
  <c r="O9" i="3"/>
  <c r="N10" i="3"/>
  <c r="O10" i="3"/>
  <c r="N11" i="3"/>
  <c r="O11" i="3"/>
  <c r="N12" i="3"/>
  <c r="O12" i="3"/>
  <c r="N13" i="3"/>
  <c r="O13" i="3"/>
  <c r="N14" i="3"/>
  <c r="O14" i="3"/>
  <c r="N15" i="3"/>
  <c r="O15" i="3"/>
  <c r="N16" i="3"/>
  <c r="O16" i="3"/>
  <c r="N17" i="3"/>
  <c r="O17" i="3"/>
  <c r="N18" i="3"/>
  <c r="O18" i="3"/>
  <c r="N19" i="3"/>
  <c r="O19" i="3"/>
  <c r="N20" i="3"/>
  <c r="O20" i="3"/>
  <c r="N21" i="3"/>
  <c r="O21" i="3"/>
  <c r="N22" i="3"/>
  <c r="O22" i="3"/>
  <c r="N23" i="3"/>
  <c r="O23" i="3"/>
  <c r="N24" i="3"/>
  <c r="O24" i="3"/>
  <c r="N25" i="3"/>
  <c r="O25" i="3"/>
  <c r="N26" i="3"/>
  <c r="O26" i="3"/>
  <c r="N27" i="3"/>
  <c r="O27" i="3"/>
  <c r="N28" i="3"/>
  <c r="O28" i="3"/>
  <c r="N29" i="3"/>
  <c r="O29" i="3"/>
  <c r="N30" i="3"/>
  <c r="O30" i="3"/>
  <c r="N31" i="3"/>
  <c r="O31" i="3"/>
  <c r="N32" i="3"/>
  <c r="O32" i="3"/>
  <c r="N33" i="3"/>
  <c r="O33" i="3"/>
  <c r="N34" i="3"/>
  <c r="O34" i="3"/>
  <c r="N35" i="3"/>
  <c r="O35" i="3"/>
  <c r="N36" i="3"/>
  <c r="O36" i="3"/>
  <c r="N37" i="3"/>
  <c r="O37" i="3"/>
  <c r="N38" i="3"/>
  <c r="O38" i="3"/>
  <c r="N39" i="3"/>
  <c r="O39" i="3"/>
  <c r="N40" i="3"/>
  <c r="O40" i="3"/>
  <c r="N41" i="3"/>
  <c r="O41" i="3"/>
  <c r="N42" i="3"/>
  <c r="O42" i="3"/>
  <c r="N43" i="3"/>
  <c r="O43" i="3"/>
  <c r="N44" i="3"/>
  <c r="O44" i="3"/>
  <c r="N45" i="3"/>
  <c r="O45" i="3"/>
  <c r="N46" i="3"/>
  <c r="O46" i="3"/>
  <c r="N47" i="3"/>
  <c r="O47" i="3"/>
  <c r="N48" i="3"/>
  <c r="O48" i="3"/>
  <c r="N49" i="3"/>
  <c r="O49" i="3"/>
  <c r="N50" i="3"/>
  <c r="O50" i="3"/>
  <c r="N51" i="3"/>
  <c r="O51" i="3"/>
  <c r="N52" i="3"/>
  <c r="O52" i="3"/>
  <c r="N53" i="3"/>
  <c r="O53" i="3"/>
  <c r="N54" i="3"/>
  <c r="O54" i="3"/>
  <c r="N55" i="3"/>
  <c r="O55" i="3"/>
  <c r="N56" i="3"/>
  <c r="O56" i="3"/>
  <c r="N57" i="3"/>
  <c r="O57" i="3"/>
  <c r="N58" i="3"/>
  <c r="O58" i="3"/>
  <c r="N59" i="3"/>
  <c r="O59" i="3"/>
  <c r="N60" i="3"/>
  <c r="O60" i="3"/>
  <c r="N61" i="3"/>
  <c r="O61" i="3"/>
  <c r="N62" i="3"/>
  <c r="O62" i="3"/>
  <c r="N63" i="3"/>
  <c r="O63" i="3"/>
  <c r="N64" i="3"/>
  <c r="O64" i="3"/>
  <c r="N65" i="3"/>
  <c r="O65" i="3"/>
  <c r="N66" i="3"/>
  <c r="O66" i="3"/>
  <c r="N67" i="3"/>
  <c r="O67" i="3"/>
  <c r="N68" i="3"/>
  <c r="O68" i="3"/>
  <c r="N69" i="3"/>
  <c r="O69" i="3"/>
  <c r="N70" i="3"/>
  <c r="O70" i="3"/>
  <c r="N71" i="3"/>
  <c r="O71" i="3"/>
  <c r="N72" i="3"/>
  <c r="O72" i="3"/>
  <c r="N73" i="3"/>
  <c r="O73" i="3"/>
  <c r="N74" i="3"/>
  <c r="O74" i="3"/>
  <c r="N75" i="3"/>
  <c r="O75" i="3"/>
  <c r="N76" i="3"/>
  <c r="O76" i="3"/>
  <c r="N77" i="3"/>
  <c r="O77" i="3"/>
  <c r="N78" i="3"/>
  <c r="O78" i="3"/>
  <c r="N79" i="3"/>
  <c r="O79" i="3"/>
  <c r="N80" i="3"/>
  <c r="O80" i="3"/>
  <c r="N81" i="3"/>
  <c r="O81" i="3"/>
  <c r="N82" i="3"/>
  <c r="O82" i="3"/>
  <c r="N83" i="3"/>
  <c r="O83" i="3"/>
  <c r="N84" i="3"/>
  <c r="O84" i="3"/>
  <c r="N85" i="3"/>
  <c r="O85" i="3"/>
  <c r="N86" i="3"/>
  <c r="O86" i="3"/>
  <c r="N87" i="3"/>
  <c r="O87" i="3"/>
  <c r="N88" i="3"/>
  <c r="O88" i="3"/>
  <c r="N89" i="3"/>
  <c r="O89" i="3"/>
  <c r="N90" i="3"/>
  <c r="O90" i="3"/>
  <c r="N91" i="3"/>
  <c r="O91" i="3"/>
  <c r="N92" i="3"/>
  <c r="O92" i="3"/>
  <c r="N93" i="3"/>
  <c r="O93" i="3"/>
  <c r="N94" i="3"/>
  <c r="O94" i="3"/>
  <c r="N95" i="3"/>
  <c r="O95" i="3"/>
  <c r="N96" i="3"/>
  <c r="O96" i="3"/>
  <c r="N97" i="3"/>
  <c r="O97" i="3"/>
  <c r="N98" i="3"/>
  <c r="O98" i="3"/>
  <c r="N99" i="3"/>
  <c r="O99" i="3"/>
  <c r="N100" i="3"/>
  <c r="O100" i="3"/>
  <c r="N101" i="3"/>
  <c r="O101" i="3"/>
  <c r="N102" i="3"/>
  <c r="O102" i="3"/>
  <c r="N103" i="3"/>
  <c r="O103" i="3"/>
  <c r="N104" i="3"/>
  <c r="O104" i="3"/>
  <c r="N105" i="3"/>
  <c r="O105" i="3"/>
  <c r="N106" i="3"/>
  <c r="O106" i="3"/>
  <c r="N107" i="3"/>
  <c r="O107" i="3"/>
  <c r="N108" i="3"/>
  <c r="O108" i="3"/>
  <c r="N109" i="3"/>
  <c r="O109" i="3"/>
  <c r="N110" i="3"/>
  <c r="O110" i="3"/>
  <c r="N111" i="3"/>
  <c r="O111" i="3"/>
  <c r="N112" i="3"/>
  <c r="O112" i="3"/>
  <c r="N113" i="3"/>
  <c r="O113" i="3"/>
  <c r="N114" i="3"/>
  <c r="O114" i="3"/>
  <c r="N115" i="3"/>
  <c r="O115" i="3"/>
  <c r="N116" i="3"/>
  <c r="O116" i="3"/>
  <c r="N117" i="3"/>
  <c r="O117" i="3"/>
  <c r="N118" i="3"/>
  <c r="O118" i="3"/>
  <c r="N119" i="3"/>
  <c r="O119" i="3"/>
  <c r="N120" i="3"/>
  <c r="O120" i="3"/>
  <c r="N121" i="3"/>
  <c r="O121" i="3"/>
  <c r="N122" i="3"/>
  <c r="O122" i="3"/>
  <c r="N123" i="3"/>
  <c r="O123" i="3"/>
  <c r="N124" i="3"/>
  <c r="O124" i="3"/>
  <c r="N125" i="3"/>
  <c r="O125" i="3"/>
  <c r="N126" i="3"/>
  <c r="O126" i="3"/>
  <c r="N127" i="3"/>
  <c r="O127" i="3"/>
  <c r="N128" i="3"/>
  <c r="O128" i="3"/>
  <c r="N129" i="3"/>
  <c r="O129" i="3"/>
  <c r="N130" i="3"/>
  <c r="O130" i="3"/>
  <c r="N131" i="3"/>
  <c r="O131" i="3"/>
  <c r="N132" i="3"/>
  <c r="O132" i="3"/>
  <c r="N133" i="3"/>
  <c r="O133" i="3"/>
  <c r="N134" i="3"/>
  <c r="O134" i="3"/>
  <c r="N135" i="3"/>
  <c r="O135" i="3"/>
  <c r="N136" i="3"/>
  <c r="O136" i="3"/>
  <c r="N137" i="3"/>
  <c r="O137" i="3"/>
  <c r="N138" i="3"/>
  <c r="O138" i="3"/>
  <c r="N139" i="3"/>
  <c r="O139" i="3"/>
  <c r="N140" i="3"/>
  <c r="O140" i="3"/>
  <c r="N141" i="3"/>
  <c r="O141" i="3"/>
  <c r="N142" i="3"/>
  <c r="O142" i="3"/>
  <c r="N143" i="3"/>
  <c r="O143" i="3"/>
  <c r="N144" i="3"/>
  <c r="O144" i="3"/>
  <c r="N145" i="3"/>
  <c r="O145" i="3"/>
  <c r="N146" i="3"/>
  <c r="O146" i="3"/>
  <c r="N147" i="3"/>
  <c r="O147" i="3"/>
  <c r="N148" i="3"/>
  <c r="O148" i="3"/>
  <c r="N149" i="3"/>
  <c r="O149" i="3"/>
  <c r="N150" i="3"/>
  <c r="O150" i="3"/>
  <c r="N151" i="3"/>
  <c r="O151" i="3"/>
  <c r="N152" i="3"/>
  <c r="O152" i="3"/>
  <c r="N153" i="3"/>
  <c r="O153" i="3"/>
  <c r="N154" i="3"/>
  <c r="O154" i="3"/>
  <c r="N155" i="3"/>
  <c r="O155" i="3"/>
  <c r="N156" i="3"/>
  <c r="O156" i="3"/>
  <c r="N157" i="3"/>
  <c r="O157" i="3"/>
  <c r="N158" i="3"/>
  <c r="O158" i="3"/>
  <c r="N159" i="3"/>
  <c r="O159" i="3"/>
  <c r="N160" i="3"/>
  <c r="O160" i="3"/>
  <c r="N161" i="3"/>
  <c r="O161" i="3"/>
  <c r="N162" i="3"/>
  <c r="O162" i="3"/>
  <c r="N163" i="3"/>
  <c r="O163" i="3"/>
  <c r="N164" i="3"/>
  <c r="O164" i="3"/>
  <c r="N165" i="3"/>
  <c r="O165" i="3"/>
  <c r="N166" i="3"/>
  <c r="O166" i="3"/>
  <c r="N167" i="3"/>
  <c r="O167" i="3"/>
  <c r="N168" i="3"/>
  <c r="O168" i="3"/>
  <c r="N169" i="3"/>
  <c r="O169" i="3"/>
  <c r="N170" i="3"/>
  <c r="O170" i="3"/>
  <c r="N171" i="3"/>
  <c r="O171" i="3"/>
  <c r="N172" i="3"/>
  <c r="O172" i="3"/>
  <c r="N173" i="3"/>
  <c r="O173" i="3"/>
  <c r="N174" i="3"/>
  <c r="O174" i="3"/>
  <c r="N175" i="3"/>
  <c r="O175" i="3"/>
  <c r="N176" i="3"/>
  <c r="O176" i="3"/>
  <c r="N177" i="3"/>
  <c r="O177" i="3"/>
  <c r="N178" i="3"/>
  <c r="O178" i="3"/>
  <c r="N179" i="3"/>
  <c r="O179" i="3"/>
  <c r="N180" i="3"/>
  <c r="O180" i="3"/>
  <c r="N181" i="3"/>
  <c r="O181" i="3"/>
  <c r="N182" i="3"/>
  <c r="O182" i="3"/>
  <c r="N183" i="3"/>
  <c r="O183" i="3"/>
  <c r="N184" i="3"/>
  <c r="O184" i="3"/>
  <c r="N185" i="3"/>
  <c r="O185" i="3"/>
  <c r="N186" i="3"/>
  <c r="O186" i="3"/>
  <c r="N187" i="3"/>
  <c r="O187" i="3"/>
  <c r="N188" i="3"/>
  <c r="O188" i="3"/>
  <c r="N189" i="3"/>
  <c r="O189" i="3"/>
  <c r="N190" i="3"/>
  <c r="O190" i="3"/>
  <c r="N191" i="3"/>
  <c r="O191" i="3"/>
  <c r="N192" i="3"/>
  <c r="O192" i="3"/>
  <c r="N193" i="3"/>
  <c r="O193" i="3"/>
  <c r="N194" i="3"/>
  <c r="O194" i="3"/>
  <c r="N195" i="3"/>
  <c r="O195" i="3"/>
  <c r="N196" i="3"/>
  <c r="O196" i="3"/>
  <c r="N197" i="3"/>
  <c r="O197" i="3"/>
  <c r="N198" i="3"/>
  <c r="O198" i="3"/>
  <c r="N199" i="3"/>
  <c r="O199" i="3"/>
  <c r="N200" i="3"/>
  <c r="O200" i="3"/>
  <c r="N201" i="3"/>
  <c r="O201" i="3"/>
  <c r="N202" i="3"/>
  <c r="O202" i="3"/>
  <c r="N203" i="3"/>
  <c r="O203" i="3"/>
  <c r="N204" i="3"/>
  <c r="O204" i="3"/>
  <c r="N205" i="3"/>
  <c r="O205" i="3"/>
  <c r="N206" i="3"/>
  <c r="O206" i="3"/>
  <c r="N207" i="3"/>
  <c r="O207" i="3"/>
  <c r="N208" i="3"/>
  <c r="O208" i="3"/>
  <c r="N209" i="3"/>
  <c r="O209" i="3"/>
  <c r="N210" i="3"/>
  <c r="O210" i="3"/>
  <c r="N211" i="3"/>
  <c r="O211" i="3"/>
  <c r="N212" i="3"/>
  <c r="O212" i="3"/>
  <c r="N213" i="3"/>
  <c r="O213" i="3"/>
  <c r="N214" i="3"/>
  <c r="O214" i="3"/>
  <c r="N215" i="3"/>
  <c r="O215" i="3"/>
  <c r="N216" i="3"/>
  <c r="O216" i="3"/>
  <c r="N217" i="3"/>
  <c r="O217" i="3"/>
  <c r="N218" i="3"/>
  <c r="O218" i="3"/>
  <c r="N219" i="3"/>
  <c r="O219" i="3"/>
  <c r="N220" i="3"/>
  <c r="O220" i="3"/>
  <c r="N221" i="3"/>
  <c r="O221" i="3"/>
  <c r="N222" i="3"/>
  <c r="O222" i="3"/>
  <c r="N223" i="3"/>
  <c r="O223" i="3"/>
  <c r="N224" i="3"/>
  <c r="O224" i="3"/>
  <c r="N225" i="3"/>
  <c r="O225" i="3"/>
  <c r="N226" i="3"/>
  <c r="O226" i="3"/>
  <c r="N227" i="3"/>
  <c r="O227" i="3"/>
  <c r="N228" i="3"/>
  <c r="O228" i="3"/>
  <c r="N229" i="3"/>
  <c r="O229" i="3"/>
  <c r="N230" i="3"/>
  <c r="O230" i="3"/>
  <c r="N231" i="3"/>
  <c r="O231" i="3"/>
  <c r="N232" i="3"/>
  <c r="O232" i="3"/>
  <c r="N233" i="3"/>
  <c r="O233" i="3"/>
  <c r="N234" i="3"/>
  <c r="O234" i="3"/>
  <c r="N235" i="3"/>
  <c r="O235" i="3"/>
  <c r="N236" i="3"/>
  <c r="O236" i="3"/>
  <c r="N237" i="3"/>
  <c r="O237" i="3"/>
  <c r="N238" i="3"/>
  <c r="O238" i="3"/>
  <c r="N239" i="3"/>
  <c r="O239" i="3"/>
  <c r="N240" i="3"/>
  <c r="O240" i="3"/>
  <c r="N241" i="3"/>
  <c r="O241" i="3"/>
  <c r="N242" i="3"/>
  <c r="O242" i="3"/>
  <c r="N243" i="3"/>
  <c r="O243" i="3"/>
  <c r="N244" i="3"/>
  <c r="O244" i="3"/>
  <c r="N245" i="3"/>
  <c r="O245" i="3"/>
  <c r="N246" i="3"/>
  <c r="O246" i="3"/>
  <c r="N247" i="3"/>
  <c r="O247" i="3"/>
  <c r="N248" i="3"/>
  <c r="O248" i="3"/>
  <c r="N249" i="3"/>
  <c r="O249" i="3"/>
  <c r="N250" i="3"/>
  <c r="O250" i="3"/>
  <c r="N251" i="3"/>
  <c r="O251" i="3"/>
  <c r="N252" i="3"/>
  <c r="O252" i="3"/>
  <c r="N253" i="3"/>
  <c r="O253" i="3"/>
  <c r="N254" i="3"/>
  <c r="O254" i="3"/>
  <c r="N255" i="3"/>
  <c r="O255" i="3"/>
  <c r="N256" i="3"/>
  <c r="O256" i="3"/>
  <c r="N257" i="3"/>
  <c r="O257" i="3"/>
  <c r="N258" i="3"/>
  <c r="O258" i="3"/>
  <c r="N259" i="3"/>
  <c r="O259" i="3"/>
  <c r="N260" i="3"/>
  <c r="O260" i="3"/>
  <c r="N261" i="3"/>
  <c r="O261" i="3"/>
  <c r="N262" i="3"/>
  <c r="O262" i="3"/>
  <c r="N263" i="3"/>
  <c r="O263" i="3"/>
  <c r="N264" i="3"/>
  <c r="O264" i="3"/>
  <c r="N265" i="3"/>
  <c r="O265" i="3"/>
  <c r="N266" i="3"/>
  <c r="O266" i="3"/>
  <c r="N267" i="3"/>
  <c r="O267" i="3"/>
  <c r="N268" i="3"/>
  <c r="O268" i="3"/>
  <c r="N269" i="3"/>
  <c r="O269" i="3"/>
  <c r="N270" i="3"/>
  <c r="O270" i="3"/>
  <c r="N271" i="3"/>
  <c r="O271" i="3"/>
  <c r="N272" i="3"/>
  <c r="O272" i="3"/>
  <c r="N273" i="3"/>
  <c r="O273" i="3"/>
  <c r="N274" i="3"/>
  <c r="O274" i="3"/>
  <c r="N275" i="3"/>
  <c r="O275" i="3"/>
  <c r="N276" i="3"/>
  <c r="O276" i="3"/>
  <c r="N277" i="3"/>
  <c r="O277" i="3"/>
  <c r="N278" i="3"/>
  <c r="O278" i="3"/>
  <c r="N279" i="3"/>
  <c r="O279" i="3"/>
  <c r="N280" i="3"/>
  <c r="O280" i="3"/>
  <c r="N281" i="3"/>
  <c r="O281" i="3"/>
  <c r="N282" i="3"/>
  <c r="O282" i="3"/>
  <c r="N283" i="3"/>
  <c r="O283" i="3"/>
  <c r="N284" i="3"/>
  <c r="O284" i="3"/>
  <c r="N285" i="3"/>
  <c r="O285" i="3"/>
  <c r="N286" i="3"/>
  <c r="O286" i="3"/>
  <c r="N287" i="3"/>
  <c r="O287" i="3"/>
  <c r="N288" i="3"/>
  <c r="O288" i="3"/>
  <c r="N289" i="3"/>
  <c r="O289" i="3"/>
  <c r="N290" i="3"/>
  <c r="O290" i="3"/>
  <c r="N291" i="3"/>
  <c r="O291" i="3"/>
  <c r="N292" i="3"/>
  <c r="O292" i="3"/>
  <c r="N293" i="3"/>
  <c r="O293" i="3"/>
  <c r="N294" i="3"/>
  <c r="O294" i="3"/>
  <c r="N295" i="3"/>
  <c r="O295" i="3"/>
  <c r="N296" i="3"/>
  <c r="O296" i="3"/>
  <c r="N297" i="3"/>
  <c r="O297" i="3"/>
  <c r="N298" i="3"/>
  <c r="O298" i="3"/>
  <c r="N299" i="3"/>
  <c r="O299" i="3"/>
  <c r="N300" i="3"/>
  <c r="O300" i="3"/>
  <c r="N301" i="3"/>
  <c r="O301" i="3"/>
  <c r="N302" i="3"/>
  <c r="O302" i="3"/>
  <c r="N303" i="3"/>
  <c r="O303" i="3"/>
  <c r="N304" i="3"/>
  <c r="O304" i="3"/>
  <c r="N305" i="3"/>
  <c r="O305" i="3"/>
  <c r="N306" i="3"/>
  <c r="O306" i="3"/>
  <c r="N307" i="3"/>
  <c r="O307" i="3"/>
  <c r="N308" i="3"/>
  <c r="O308" i="3"/>
  <c r="N309" i="3"/>
  <c r="O309" i="3"/>
  <c r="N310" i="3"/>
  <c r="O310" i="3"/>
  <c r="N311" i="3"/>
  <c r="O311" i="3"/>
  <c r="N312" i="3"/>
  <c r="O312" i="3"/>
  <c r="N313" i="3"/>
  <c r="O313" i="3"/>
  <c r="N314" i="3"/>
  <c r="O314" i="3"/>
  <c r="N315" i="3"/>
  <c r="O315" i="3"/>
  <c r="N316" i="3"/>
  <c r="O316" i="3"/>
  <c r="N317" i="3"/>
  <c r="O317" i="3"/>
  <c r="N318" i="3"/>
  <c r="O318" i="3"/>
  <c r="N319" i="3"/>
  <c r="O319" i="3"/>
  <c r="N320" i="3"/>
  <c r="O320" i="3"/>
  <c r="N321" i="3"/>
  <c r="O321" i="3"/>
  <c r="N322" i="3"/>
  <c r="O322" i="3"/>
  <c r="N323" i="3"/>
  <c r="O323" i="3"/>
  <c r="N324" i="3"/>
  <c r="O324" i="3"/>
  <c r="N325" i="3"/>
  <c r="O325" i="3"/>
  <c r="N326" i="3"/>
  <c r="O326" i="3"/>
  <c r="N327" i="3"/>
  <c r="O327" i="3"/>
  <c r="N328" i="3"/>
  <c r="O328" i="3"/>
  <c r="N329" i="3"/>
  <c r="O329" i="3"/>
  <c r="N330" i="3"/>
  <c r="O330" i="3"/>
  <c r="N331" i="3"/>
  <c r="O331" i="3"/>
  <c r="N332" i="3"/>
  <c r="O332" i="3"/>
  <c r="N333" i="3"/>
  <c r="O333" i="3"/>
  <c r="N334" i="3"/>
  <c r="O334" i="3"/>
  <c r="N335" i="3"/>
  <c r="O335" i="3"/>
  <c r="N336" i="3"/>
  <c r="O336" i="3"/>
  <c r="N337" i="3"/>
  <c r="O337" i="3"/>
  <c r="N338" i="3"/>
  <c r="O338" i="3"/>
  <c r="N339" i="3"/>
  <c r="O339" i="3"/>
  <c r="N340" i="3"/>
  <c r="O340" i="3"/>
  <c r="N341" i="3"/>
  <c r="O341" i="3"/>
  <c r="N342" i="3"/>
  <c r="O342" i="3"/>
  <c r="N343" i="3"/>
  <c r="O343" i="3"/>
  <c r="N344" i="3"/>
  <c r="O344" i="3"/>
  <c r="N345" i="3"/>
  <c r="O345" i="3"/>
  <c r="N346" i="3"/>
  <c r="O346" i="3"/>
  <c r="N347" i="3"/>
  <c r="O347" i="3"/>
  <c r="N348" i="3"/>
  <c r="O348" i="3"/>
  <c r="N349" i="3"/>
  <c r="O349" i="3"/>
  <c r="N350" i="3"/>
  <c r="O350" i="3"/>
  <c r="N351" i="3"/>
  <c r="O351" i="3"/>
  <c r="N352" i="3"/>
  <c r="O352" i="3"/>
  <c r="N353" i="3"/>
  <c r="O353" i="3"/>
  <c r="N354" i="3"/>
  <c r="O354" i="3"/>
  <c r="N355" i="3"/>
  <c r="O355" i="3"/>
  <c r="N356" i="3"/>
  <c r="O356" i="3"/>
  <c r="N357" i="3"/>
  <c r="O357" i="3"/>
  <c r="N358" i="3"/>
  <c r="O358" i="3"/>
  <c r="N359" i="3"/>
  <c r="O359" i="3"/>
  <c r="N360" i="3"/>
  <c r="O360" i="3"/>
  <c r="N361" i="3"/>
  <c r="O361" i="3"/>
  <c r="N362" i="3"/>
  <c r="O362" i="3"/>
  <c r="N363" i="3"/>
  <c r="O363" i="3"/>
  <c r="N364" i="3"/>
  <c r="O364" i="3"/>
  <c r="N365" i="3"/>
  <c r="O365" i="3"/>
  <c r="N366" i="3"/>
  <c r="O366" i="3"/>
  <c r="N367" i="3"/>
  <c r="O367" i="3"/>
  <c r="N368" i="3"/>
  <c r="O368" i="3"/>
  <c r="N369" i="3"/>
  <c r="O369" i="3"/>
  <c r="N370" i="3"/>
  <c r="O370" i="3"/>
  <c r="N371" i="3"/>
  <c r="O371" i="3"/>
  <c r="N372" i="3"/>
  <c r="O372" i="3"/>
  <c r="N373" i="3"/>
  <c r="O373" i="3"/>
  <c r="N374" i="3"/>
  <c r="O374" i="3"/>
  <c r="N375" i="3"/>
  <c r="O375" i="3"/>
  <c r="N376" i="3"/>
  <c r="O376" i="3"/>
  <c r="N377" i="3"/>
  <c r="O377" i="3"/>
  <c r="N378" i="3"/>
  <c r="O378" i="3"/>
  <c r="N379" i="3"/>
  <c r="O379" i="3"/>
  <c r="N380" i="3"/>
  <c r="O380" i="3"/>
  <c r="N381" i="3"/>
  <c r="O381" i="3"/>
  <c r="N382" i="3"/>
  <c r="O382" i="3"/>
  <c r="N383" i="3"/>
  <c r="O383" i="3"/>
  <c r="N384" i="3"/>
  <c r="O384" i="3"/>
  <c r="N385" i="3"/>
  <c r="O385" i="3"/>
  <c r="N386" i="3"/>
  <c r="O386" i="3"/>
  <c r="N387" i="3"/>
  <c r="O387" i="3"/>
  <c r="N388" i="3"/>
  <c r="O388" i="3"/>
  <c r="N389" i="3"/>
  <c r="O389" i="3"/>
  <c r="N390" i="3"/>
  <c r="O390" i="3"/>
  <c r="N391" i="3"/>
  <c r="O391" i="3"/>
  <c r="N392" i="3"/>
  <c r="O392" i="3"/>
  <c r="N393" i="3"/>
  <c r="O393" i="3"/>
  <c r="N394" i="3"/>
  <c r="O394" i="3"/>
  <c r="N395" i="3"/>
  <c r="O395" i="3"/>
  <c r="N396" i="3"/>
  <c r="O396" i="3"/>
  <c r="N397" i="3"/>
  <c r="O397" i="3"/>
  <c r="N398" i="3"/>
  <c r="O398" i="3"/>
  <c r="N399" i="3"/>
  <c r="O399" i="3"/>
  <c r="N400" i="3"/>
  <c r="O400" i="3"/>
  <c r="N401" i="3"/>
  <c r="O401" i="3"/>
  <c r="N402" i="3"/>
  <c r="O402" i="3"/>
  <c r="N403" i="3"/>
  <c r="O403" i="3"/>
  <c r="N404" i="3"/>
  <c r="O404" i="3"/>
  <c r="N405" i="3"/>
  <c r="O405" i="3"/>
  <c r="N406" i="3"/>
  <c r="O406" i="3"/>
  <c r="N407" i="3"/>
  <c r="O407" i="3"/>
  <c r="N408" i="3"/>
  <c r="O408" i="3"/>
  <c r="N409" i="3"/>
  <c r="O409" i="3"/>
  <c r="N410" i="3"/>
  <c r="O410" i="3"/>
  <c r="N411" i="3"/>
  <c r="O411" i="3"/>
  <c r="N412" i="3"/>
  <c r="O412" i="3"/>
  <c r="N413" i="3"/>
  <c r="O413" i="3"/>
  <c r="N414" i="3"/>
  <c r="O414" i="3"/>
  <c r="N415" i="3"/>
  <c r="O415" i="3"/>
  <c r="N416" i="3"/>
  <c r="O416" i="3"/>
  <c r="N417" i="3"/>
  <c r="O417" i="3"/>
  <c r="N418" i="3"/>
  <c r="O418" i="3"/>
  <c r="N419" i="3"/>
  <c r="O419" i="3"/>
  <c r="N420" i="3"/>
  <c r="O420" i="3"/>
  <c r="N421" i="3"/>
  <c r="O421" i="3"/>
  <c r="N422" i="3"/>
  <c r="O422" i="3"/>
  <c r="N423" i="3"/>
  <c r="O423" i="3"/>
  <c r="N424" i="3"/>
  <c r="O424" i="3"/>
  <c r="N425" i="3"/>
  <c r="O425" i="3"/>
  <c r="N426" i="3"/>
  <c r="O426" i="3"/>
  <c r="N427" i="3"/>
  <c r="O427" i="3"/>
  <c r="N428" i="3"/>
  <c r="O428" i="3"/>
  <c r="N429" i="3"/>
  <c r="O429" i="3"/>
  <c r="N430" i="3"/>
  <c r="O430" i="3"/>
  <c r="N431" i="3"/>
  <c r="O431" i="3"/>
  <c r="N432" i="3"/>
  <c r="O432" i="3"/>
  <c r="N433" i="3"/>
  <c r="O433" i="3"/>
  <c r="N434" i="3"/>
  <c r="O434" i="3"/>
  <c r="N435" i="3"/>
  <c r="O435" i="3"/>
  <c r="N436" i="3"/>
  <c r="O436" i="3"/>
  <c r="N437" i="3"/>
  <c r="O437" i="3"/>
  <c r="N438" i="3"/>
  <c r="O438" i="3"/>
  <c r="N439" i="3"/>
  <c r="O439" i="3"/>
  <c r="N440" i="3"/>
  <c r="O440" i="3"/>
  <c r="N441" i="3"/>
  <c r="O441" i="3"/>
  <c r="N442" i="3"/>
  <c r="O442" i="3"/>
  <c r="N443" i="3"/>
  <c r="O443" i="3"/>
  <c r="N444" i="3"/>
  <c r="O444" i="3"/>
  <c r="N445" i="3"/>
  <c r="O445" i="3"/>
  <c r="N446" i="3"/>
  <c r="O446" i="3"/>
  <c r="N447" i="3"/>
  <c r="O447" i="3"/>
  <c r="N448" i="3"/>
  <c r="O448" i="3"/>
  <c r="N449" i="3"/>
  <c r="O449" i="3"/>
  <c r="N450" i="3"/>
  <c r="O450" i="3"/>
  <c r="N451" i="3"/>
  <c r="O451" i="3"/>
  <c r="N452" i="3"/>
  <c r="O452" i="3"/>
  <c r="N453" i="3"/>
  <c r="O453" i="3"/>
  <c r="N454" i="3"/>
  <c r="O454" i="3"/>
  <c r="N455" i="3"/>
  <c r="O455" i="3"/>
  <c r="N456" i="3"/>
  <c r="O456" i="3"/>
  <c r="N457" i="3"/>
  <c r="O457" i="3"/>
  <c r="N458" i="3"/>
  <c r="O458" i="3"/>
  <c r="N459" i="3"/>
  <c r="O459" i="3"/>
  <c r="N460" i="3"/>
  <c r="O460" i="3"/>
  <c r="N461" i="3"/>
  <c r="O461" i="3"/>
  <c r="N462" i="3"/>
  <c r="O462" i="3"/>
  <c r="N463" i="3"/>
  <c r="O463" i="3"/>
  <c r="N464" i="3"/>
  <c r="O464" i="3"/>
  <c r="N465" i="3"/>
  <c r="O465" i="3"/>
  <c r="N466" i="3"/>
  <c r="O466" i="3"/>
  <c r="N467" i="3"/>
  <c r="O467" i="3"/>
  <c r="N468" i="3"/>
  <c r="O468" i="3"/>
  <c r="N469" i="3"/>
  <c r="O469" i="3"/>
  <c r="N470" i="3"/>
  <c r="O470" i="3"/>
  <c r="N471" i="3"/>
  <c r="O471" i="3"/>
  <c r="N472" i="3"/>
  <c r="O472" i="3"/>
  <c r="N473" i="3"/>
  <c r="O473" i="3"/>
  <c r="N474" i="3"/>
  <c r="O474" i="3"/>
  <c r="N475" i="3"/>
  <c r="O475" i="3"/>
  <c r="N476" i="3"/>
  <c r="O476" i="3"/>
  <c r="N477" i="3"/>
  <c r="O477" i="3"/>
  <c r="N478" i="3"/>
  <c r="O478" i="3"/>
  <c r="N479" i="3"/>
  <c r="O479" i="3"/>
  <c r="N480" i="3"/>
  <c r="O480" i="3"/>
  <c r="N481" i="3"/>
  <c r="O481" i="3"/>
  <c r="N482" i="3"/>
  <c r="O482" i="3"/>
  <c r="N483" i="3"/>
  <c r="O483" i="3"/>
  <c r="N484" i="3"/>
  <c r="O484" i="3"/>
  <c r="N485" i="3"/>
  <c r="O485" i="3"/>
  <c r="N486" i="3"/>
  <c r="O486" i="3"/>
  <c r="N487" i="3"/>
  <c r="O487" i="3"/>
  <c r="N488" i="3"/>
  <c r="O488" i="3"/>
  <c r="N489" i="3"/>
  <c r="O489" i="3"/>
  <c r="N490" i="3"/>
  <c r="O490" i="3"/>
  <c r="N491" i="3"/>
  <c r="O491" i="3"/>
  <c r="N492" i="3"/>
  <c r="O492" i="3"/>
  <c r="N493" i="3"/>
  <c r="O493" i="3"/>
  <c r="N494" i="3"/>
  <c r="O494" i="3"/>
  <c r="N495" i="3"/>
  <c r="O495" i="3"/>
  <c r="N496" i="3"/>
  <c r="O496" i="3"/>
  <c r="N497" i="3"/>
  <c r="O497" i="3"/>
  <c r="N498" i="3"/>
  <c r="O498" i="3"/>
  <c r="N499" i="3"/>
  <c r="O499" i="3"/>
  <c r="N500" i="3"/>
  <c r="O500" i="3"/>
  <c r="N501" i="3"/>
  <c r="O501" i="3"/>
  <c r="O6" i="3"/>
  <c r="N6" i="3"/>
  <c r="O476" i="1"/>
  <c r="N7" i="1"/>
  <c r="O7" i="1"/>
  <c r="E10" i="8" s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N26" i="1"/>
  <c r="O26" i="1"/>
  <c r="N27" i="1"/>
  <c r="O27" i="1"/>
  <c r="N28" i="1"/>
  <c r="O28" i="1"/>
  <c r="N29" i="1"/>
  <c r="O29" i="1"/>
  <c r="N30" i="1"/>
  <c r="O30" i="1"/>
  <c r="N31" i="1"/>
  <c r="O31" i="1"/>
  <c r="N32" i="1"/>
  <c r="O32" i="1"/>
  <c r="N33" i="1"/>
  <c r="O33" i="1"/>
  <c r="N34" i="1"/>
  <c r="O34" i="1"/>
  <c r="N35" i="1"/>
  <c r="O35" i="1"/>
  <c r="N36" i="1"/>
  <c r="O36" i="1"/>
  <c r="N37" i="1"/>
  <c r="O37" i="1"/>
  <c r="N38" i="1"/>
  <c r="O38" i="1"/>
  <c r="N39" i="1"/>
  <c r="O39" i="1"/>
  <c r="N40" i="1"/>
  <c r="O40" i="1"/>
  <c r="N41" i="1"/>
  <c r="O41" i="1"/>
  <c r="N42" i="1"/>
  <c r="O42" i="1"/>
  <c r="N43" i="1"/>
  <c r="O43" i="1"/>
  <c r="N44" i="1"/>
  <c r="O44" i="1"/>
  <c r="N45" i="1"/>
  <c r="O45" i="1"/>
  <c r="N46" i="1"/>
  <c r="O46" i="1"/>
  <c r="N47" i="1"/>
  <c r="O47" i="1"/>
  <c r="N48" i="1"/>
  <c r="O48" i="1"/>
  <c r="N49" i="1"/>
  <c r="O49" i="1"/>
  <c r="N50" i="1"/>
  <c r="O50" i="1"/>
  <c r="N51" i="1"/>
  <c r="O51" i="1"/>
  <c r="N52" i="1"/>
  <c r="O52" i="1"/>
  <c r="N53" i="1"/>
  <c r="O53" i="1"/>
  <c r="N54" i="1"/>
  <c r="O54" i="1"/>
  <c r="N55" i="1"/>
  <c r="O55" i="1"/>
  <c r="N56" i="1"/>
  <c r="O56" i="1"/>
  <c r="N57" i="1"/>
  <c r="O57" i="1"/>
  <c r="N58" i="1"/>
  <c r="O58" i="1"/>
  <c r="N59" i="1"/>
  <c r="O59" i="1"/>
  <c r="N60" i="1"/>
  <c r="O60" i="1"/>
  <c r="N61" i="1"/>
  <c r="O61" i="1"/>
  <c r="N62" i="1"/>
  <c r="O62" i="1"/>
  <c r="N63" i="1"/>
  <c r="O63" i="1"/>
  <c r="N64" i="1"/>
  <c r="O64" i="1"/>
  <c r="N65" i="1"/>
  <c r="O65" i="1"/>
  <c r="N66" i="1"/>
  <c r="O66" i="1"/>
  <c r="N67" i="1"/>
  <c r="O67" i="1"/>
  <c r="N68" i="1"/>
  <c r="O68" i="1"/>
  <c r="N69" i="1"/>
  <c r="O69" i="1"/>
  <c r="N70" i="1"/>
  <c r="O70" i="1"/>
  <c r="N71" i="1"/>
  <c r="O71" i="1"/>
  <c r="N72" i="1"/>
  <c r="O72" i="1"/>
  <c r="N73" i="1"/>
  <c r="O73" i="1"/>
  <c r="N74" i="1"/>
  <c r="O74" i="1"/>
  <c r="N75" i="1"/>
  <c r="O75" i="1"/>
  <c r="N76" i="1"/>
  <c r="O76" i="1"/>
  <c r="N77" i="1"/>
  <c r="O77" i="1"/>
  <c r="N78" i="1"/>
  <c r="O78" i="1"/>
  <c r="N79" i="1"/>
  <c r="O79" i="1"/>
  <c r="N80" i="1"/>
  <c r="O80" i="1"/>
  <c r="N81" i="1"/>
  <c r="O81" i="1"/>
  <c r="N82" i="1"/>
  <c r="O82" i="1"/>
  <c r="N83" i="1"/>
  <c r="O83" i="1"/>
  <c r="N84" i="1"/>
  <c r="O84" i="1"/>
  <c r="N85" i="1"/>
  <c r="O85" i="1"/>
  <c r="N86" i="1"/>
  <c r="O86" i="1"/>
  <c r="N87" i="1"/>
  <c r="O87" i="1"/>
  <c r="N88" i="1"/>
  <c r="O88" i="1"/>
  <c r="N89" i="1"/>
  <c r="O89" i="1"/>
  <c r="N90" i="1"/>
  <c r="O90" i="1"/>
  <c r="N91" i="1"/>
  <c r="O91" i="1"/>
  <c r="N92" i="1"/>
  <c r="O92" i="1"/>
  <c r="N93" i="1"/>
  <c r="O93" i="1"/>
  <c r="N94" i="1"/>
  <c r="O94" i="1"/>
  <c r="N95" i="1"/>
  <c r="O95" i="1"/>
  <c r="N96" i="1"/>
  <c r="O96" i="1"/>
  <c r="N97" i="1"/>
  <c r="O97" i="1"/>
  <c r="N98" i="1"/>
  <c r="O98" i="1"/>
  <c r="N99" i="1"/>
  <c r="O99" i="1"/>
  <c r="N100" i="1"/>
  <c r="O100" i="1"/>
  <c r="N101" i="1"/>
  <c r="O101" i="1"/>
  <c r="N102" i="1"/>
  <c r="O102" i="1"/>
  <c r="N103" i="1"/>
  <c r="O103" i="1"/>
  <c r="N104" i="1"/>
  <c r="O104" i="1"/>
  <c r="N105" i="1"/>
  <c r="O105" i="1"/>
  <c r="N106" i="1"/>
  <c r="O106" i="1"/>
  <c r="N107" i="1"/>
  <c r="O107" i="1"/>
  <c r="N108" i="1"/>
  <c r="O108" i="1"/>
  <c r="N109" i="1"/>
  <c r="O109" i="1"/>
  <c r="N110" i="1"/>
  <c r="O110" i="1"/>
  <c r="N111" i="1"/>
  <c r="O111" i="1"/>
  <c r="N112" i="1"/>
  <c r="O112" i="1"/>
  <c r="N113" i="1"/>
  <c r="O113" i="1"/>
  <c r="N114" i="1"/>
  <c r="O114" i="1"/>
  <c r="N115" i="1"/>
  <c r="O115" i="1"/>
  <c r="N116" i="1"/>
  <c r="O116" i="1"/>
  <c r="N117" i="1"/>
  <c r="O117" i="1"/>
  <c r="N118" i="1"/>
  <c r="O118" i="1"/>
  <c r="N119" i="1"/>
  <c r="O119" i="1"/>
  <c r="N120" i="1"/>
  <c r="O120" i="1"/>
  <c r="N121" i="1"/>
  <c r="O121" i="1"/>
  <c r="N122" i="1"/>
  <c r="O122" i="1"/>
  <c r="N123" i="1"/>
  <c r="O123" i="1"/>
  <c r="N124" i="1"/>
  <c r="O124" i="1"/>
  <c r="N125" i="1"/>
  <c r="O125" i="1"/>
  <c r="N126" i="1"/>
  <c r="O126" i="1"/>
  <c r="N127" i="1"/>
  <c r="O127" i="1"/>
  <c r="N128" i="1"/>
  <c r="O128" i="1"/>
  <c r="N129" i="1"/>
  <c r="O129" i="1"/>
  <c r="N130" i="1"/>
  <c r="O130" i="1"/>
  <c r="N131" i="1"/>
  <c r="O131" i="1"/>
  <c r="N132" i="1"/>
  <c r="O132" i="1"/>
  <c r="N133" i="1"/>
  <c r="O133" i="1"/>
  <c r="N134" i="1"/>
  <c r="O134" i="1"/>
  <c r="N135" i="1"/>
  <c r="O135" i="1"/>
  <c r="N136" i="1"/>
  <c r="O136" i="1"/>
  <c r="N137" i="1"/>
  <c r="O137" i="1"/>
  <c r="N138" i="1"/>
  <c r="O138" i="1"/>
  <c r="N139" i="1"/>
  <c r="O139" i="1"/>
  <c r="N140" i="1"/>
  <c r="O140" i="1"/>
  <c r="N141" i="1"/>
  <c r="O141" i="1"/>
  <c r="N142" i="1"/>
  <c r="O142" i="1"/>
  <c r="N143" i="1"/>
  <c r="O143" i="1"/>
  <c r="N144" i="1"/>
  <c r="O144" i="1"/>
  <c r="N145" i="1"/>
  <c r="O145" i="1"/>
  <c r="N146" i="1"/>
  <c r="O146" i="1"/>
  <c r="N147" i="1"/>
  <c r="O147" i="1"/>
  <c r="N148" i="1"/>
  <c r="O148" i="1"/>
  <c r="N149" i="1"/>
  <c r="O149" i="1"/>
  <c r="N150" i="1"/>
  <c r="O150" i="1"/>
  <c r="N151" i="1"/>
  <c r="O151" i="1"/>
  <c r="N152" i="1"/>
  <c r="O152" i="1"/>
  <c r="N153" i="1"/>
  <c r="O153" i="1"/>
  <c r="N154" i="1"/>
  <c r="O154" i="1"/>
  <c r="N155" i="1"/>
  <c r="O155" i="1"/>
  <c r="N156" i="1"/>
  <c r="O156" i="1"/>
  <c r="N157" i="1"/>
  <c r="O157" i="1"/>
  <c r="N158" i="1"/>
  <c r="O158" i="1"/>
  <c r="N159" i="1"/>
  <c r="O159" i="1"/>
  <c r="N160" i="1"/>
  <c r="O160" i="1"/>
  <c r="N161" i="1"/>
  <c r="O161" i="1"/>
  <c r="N162" i="1"/>
  <c r="O162" i="1"/>
  <c r="N163" i="1"/>
  <c r="O163" i="1"/>
  <c r="N164" i="1"/>
  <c r="O164" i="1"/>
  <c r="N165" i="1"/>
  <c r="O165" i="1"/>
  <c r="N166" i="1"/>
  <c r="O166" i="1"/>
  <c r="N167" i="1"/>
  <c r="O167" i="1"/>
  <c r="N168" i="1"/>
  <c r="O168" i="1"/>
  <c r="N169" i="1"/>
  <c r="O169" i="1"/>
  <c r="N170" i="1"/>
  <c r="O170" i="1"/>
  <c r="N171" i="1"/>
  <c r="O171" i="1"/>
  <c r="N172" i="1"/>
  <c r="O172" i="1"/>
  <c r="N173" i="1"/>
  <c r="O173" i="1"/>
  <c r="N174" i="1"/>
  <c r="O174" i="1"/>
  <c r="N175" i="1"/>
  <c r="O175" i="1"/>
  <c r="N176" i="1"/>
  <c r="O176" i="1"/>
  <c r="N177" i="1"/>
  <c r="O177" i="1"/>
  <c r="N178" i="1"/>
  <c r="O178" i="1"/>
  <c r="N179" i="1"/>
  <c r="O179" i="1"/>
  <c r="N180" i="1"/>
  <c r="O180" i="1"/>
  <c r="N181" i="1"/>
  <c r="O181" i="1"/>
  <c r="N182" i="1"/>
  <c r="O182" i="1"/>
  <c r="N183" i="1"/>
  <c r="O183" i="1"/>
  <c r="N184" i="1"/>
  <c r="O184" i="1"/>
  <c r="N185" i="1"/>
  <c r="O185" i="1"/>
  <c r="N186" i="1"/>
  <c r="O186" i="1"/>
  <c r="N187" i="1"/>
  <c r="O187" i="1"/>
  <c r="N188" i="1"/>
  <c r="O188" i="1"/>
  <c r="N189" i="1"/>
  <c r="O189" i="1"/>
  <c r="N190" i="1"/>
  <c r="O190" i="1"/>
  <c r="N191" i="1"/>
  <c r="O191" i="1"/>
  <c r="N192" i="1"/>
  <c r="O192" i="1"/>
  <c r="N193" i="1"/>
  <c r="O193" i="1"/>
  <c r="N194" i="1"/>
  <c r="O194" i="1"/>
  <c r="N195" i="1"/>
  <c r="O195" i="1"/>
  <c r="N196" i="1"/>
  <c r="O196" i="1"/>
  <c r="N197" i="1"/>
  <c r="O197" i="1"/>
  <c r="N198" i="1"/>
  <c r="O198" i="1"/>
  <c r="N199" i="1"/>
  <c r="O199" i="1"/>
  <c r="N200" i="1"/>
  <c r="O200" i="1"/>
  <c r="N201" i="1"/>
  <c r="O201" i="1"/>
  <c r="N202" i="1"/>
  <c r="O202" i="1"/>
  <c r="N203" i="1"/>
  <c r="O203" i="1"/>
  <c r="N204" i="1"/>
  <c r="O204" i="1"/>
  <c r="N205" i="1"/>
  <c r="O205" i="1"/>
  <c r="N206" i="1"/>
  <c r="O206" i="1"/>
  <c r="N207" i="1"/>
  <c r="O207" i="1"/>
  <c r="N208" i="1"/>
  <c r="O208" i="1"/>
  <c r="N209" i="1"/>
  <c r="O209" i="1"/>
  <c r="N210" i="1"/>
  <c r="O210" i="1"/>
  <c r="N211" i="1"/>
  <c r="O211" i="1"/>
  <c r="N212" i="1"/>
  <c r="O212" i="1"/>
  <c r="N213" i="1"/>
  <c r="O213" i="1"/>
  <c r="N214" i="1"/>
  <c r="O214" i="1"/>
  <c r="N215" i="1"/>
  <c r="O215" i="1"/>
  <c r="N216" i="1"/>
  <c r="O216" i="1"/>
  <c r="N217" i="1"/>
  <c r="O217" i="1"/>
  <c r="N218" i="1"/>
  <c r="O218" i="1"/>
  <c r="N219" i="1"/>
  <c r="O219" i="1"/>
  <c r="N220" i="1"/>
  <c r="O220" i="1"/>
  <c r="N221" i="1"/>
  <c r="O221" i="1"/>
  <c r="N222" i="1"/>
  <c r="O222" i="1"/>
  <c r="N223" i="1"/>
  <c r="O223" i="1"/>
  <c r="N224" i="1"/>
  <c r="O224" i="1"/>
  <c r="N225" i="1"/>
  <c r="O225" i="1"/>
  <c r="N226" i="1"/>
  <c r="O226" i="1"/>
  <c r="N227" i="1"/>
  <c r="O227" i="1"/>
  <c r="N228" i="1"/>
  <c r="O228" i="1"/>
  <c r="N229" i="1"/>
  <c r="O229" i="1"/>
  <c r="N230" i="1"/>
  <c r="O230" i="1"/>
  <c r="N231" i="1"/>
  <c r="O231" i="1"/>
  <c r="N232" i="1"/>
  <c r="O232" i="1"/>
  <c r="N233" i="1"/>
  <c r="O233" i="1"/>
  <c r="N234" i="1"/>
  <c r="O234" i="1"/>
  <c r="N235" i="1"/>
  <c r="O235" i="1"/>
  <c r="N236" i="1"/>
  <c r="O236" i="1"/>
  <c r="N237" i="1"/>
  <c r="O237" i="1"/>
  <c r="N238" i="1"/>
  <c r="O238" i="1"/>
  <c r="N239" i="1"/>
  <c r="O239" i="1"/>
  <c r="N240" i="1"/>
  <c r="O240" i="1"/>
  <c r="N241" i="1"/>
  <c r="O241" i="1"/>
  <c r="N242" i="1"/>
  <c r="O242" i="1"/>
  <c r="N243" i="1"/>
  <c r="O243" i="1"/>
  <c r="N244" i="1"/>
  <c r="O244" i="1"/>
  <c r="N245" i="1"/>
  <c r="O245" i="1"/>
  <c r="N246" i="1"/>
  <c r="O246" i="1"/>
  <c r="N247" i="1"/>
  <c r="O247" i="1"/>
  <c r="N248" i="1"/>
  <c r="O248" i="1"/>
  <c r="N249" i="1"/>
  <c r="O249" i="1"/>
  <c r="N250" i="1"/>
  <c r="O250" i="1"/>
  <c r="N251" i="1"/>
  <c r="O251" i="1"/>
  <c r="N252" i="1"/>
  <c r="O252" i="1"/>
  <c r="N253" i="1"/>
  <c r="O253" i="1"/>
  <c r="N254" i="1"/>
  <c r="O254" i="1"/>
  <c r="N255" i="1"/>
  <c r="O255" i="1"/>
  <c r="N256" i="1"/>
  <c r="O256" i="1"/>
  <c r="N257" i="1"/>
  <c r="O257" i="1"/>
  <c r="N258" i="1"/>
  <c r="O258" i="1"/>
  <c r="N259" i="1"/>
  <c r="O259" i="1"/>
  <c r="N260" i="1"/>
  <c r="O260" i="1"/>
  <c r="N261" i="1"/>
  <c r="O261" i="1"/>
  <c r="N262" i="1"/>
  <c r="O262" i="1"/>
  <c r="N263" i="1"/>
  <c r="O263" i="1"/>
  <c r="N264" i="1"/>
  <c r="O264" i="1"/>
  <c r="N265" i="1"/>
  <c r="O265" i="1"/>
  <c r="N266" i="1"/>
  <c r="O266" i="1"/>
  <c r="N267" i="1"/>
  <c r="O267" i="1"/>
  <c r="N268" i="1"/>
  <c r="O268" i="1"/>
  <c r="N269" i="1"/>
  <c r="O269" i="1"/>
  <c r="N270" i="1"/>
  <c r="O270" i="1"/>
  <c r="N271" i="1"/>
  <c r="O271" i="1"/>
  <c r="N272" i="1"/>
  <c r="O272" i="1"/>
  <c r="N273" i="1"/>
  <c r="O273" i="1"/>
  <c r="N274" i="1"/>
  <c r="O274" i="1"/>
  <c r="N275" i="1"/>
  <c r="O275" i="1"/>
  <c r="N276" i="1"/>
  <c r="O276" i="1"/>
  <c r="N277" i="1"/>
  <c r="O277" i="1"/>
  <c r="N278" i="1"/>
  <c r="O278" i="1"/>
  <c r="N279" i="1"/>
  <c r="O279" i="1"/>
  <c r="N280" i="1"/>
  <c r="O280" i="1"/>
  <c r="N281" i="1"/>
  <c r="O281" i="1"/>
  <c r="N282" i="1"/>
  <c r="O282" i="1"/>
  <c r="N283" i="1"/>
  <c r="O283" i="1"/>
  <c r="N284" i="1"/>
  <c r="O284" i="1"/>
  <c r="N285" i="1"/>
  <c r="O285" i="1"/>
  <c r="N286" i="1"/>
  <c r="O286" i="1"/>
  <c r="N287" i="1"/>
  <c r="O287" i="1"/>
  <c r="N288" i="1"/>
  <c r="O288" i="1"/>
  <c r="N289" i="1"/>
  <c r="O289" i="1"/>
  <c r="N290" i="1"/>
  <c r="O290" i="1"/>
  <c r="N291" i="1"/>
  <c r="O291" i="1"/>
  <c r="N292" i="1"/>
  <c r="O292" i="1"/>
  <c r="N293" i="1"/>
  <c r="O293" i="1"/>
  <c r="N294" i="1"/>
  <c r="O294" i="1"/>
  <c r="N295" i="1"/>
  <c r="O295" i="1"/>
  <c r="N296" i="1"/>
  <c r="O296" i="1"/>
  <c r="N297" i="1"/>
  <c r="O297" i="1"/>
  <c r="N298" i="1"/>
  <c r="O298" i="1"/>
  <c r="N299" i="1"/>
  <c r="O299" i="1"/>
  <c r="N300" i="1"/>
  <c r="O300" i="1"/>
  <c r="N301" i="1"/>
  <c r="O301" i="1"/>
  <c r="N302" i="1"/>
  <c r="O302" i="1"/>
  <c r="N303" i="1"/>
  <c r="O303" i="1"/>
  <c r="N304" i="1"/>
  <c r="O304" i="1"/>
  <c r="N305" i="1"/>
  <c r="O305" i="1"/>
  <c r="N306" i="1"/>
  <c r="O306" i="1"/>
  <c r="N307" i="1"/>
  <c r="O307" i="1"/>
  <c r="N308" i="1"/>
  <c r="O308" i="1"/>
  <c r="N309" i="1"/>
  <c r="O309" i="1"/>
  <c r="N310" i="1"/>
  <c r="O310" i="1"/>
  <c r="N311" i="1"/>
  <c r="O311" i="1"/>
  <c r="N312" i="1"/>
  <c r="O312" i="1"/>
  <c r="N313" i="1"/>
  <c r="O313" i="1"/>
  <c r="N314" i="1"/>
  <c r="O314" i="1"/>
  <c r="N315" i="1"/>
  <c r="O315" i="1"/>
  <c r="N316" i="1"/>
  <c r="O316" i="1"/>
  <c r="N317" i="1"/>
  <c r="O317" i="1"/>
  <c r="N318" i="1"/>
  <c r="O318" i="1"/>
  <c r="N319" i="1"/>
  <c r="O319" i="1"/>
  <c r="N320" i="1"/>
  <c r="O320" i="1"/>
  <c r="N321" i="1"/>
  <c r="O321" i="1"/>
  <c r="N322" i="1"/>
  <c r="O322" i="1"/>
  <c r="N323" i="1"/>
  <c r="O323" i="1"/>
  <c r="N324" i="1"/>
  <c r="O324" i="1"/>
  <c r="N325" i="1"/>
  <c r="O325" i="1"/>
  <c r="N326" i="1"/>
  <c r="O326" i="1"/>
  <c r="N327" i="1"/>
  <c r="O327" i="1"/>
  <c r="N328" i="1"/>
  <c r="O328" i="1"/>
  <c r="N329" i="1"/>
  <c r="O329" i="1"/>
  <c r="N330" i="1"/>
  <c r="O330" i="1"/>
  <c r="N331" i="1"/>
  <c r="O331" i="1"/>
  <c r="N332" i="1"/>
  <c r="O332" i="1"/>
  <c r="N333" i="1"/>
  <c r="O333" i="1"/>
  <c r="N334" i="1"/>
  <c r="O334" i="1"/>
  <c r="N335" i="1"/>
  <c r="O335" i="1"/>
  <c r="N336" i="1"/>
  <c r="O336" i="1"/>
  <c r="N337" i="1"/>
  <c r="O337" i="1"/>
  <c r="N338" i="1"/>
  <c r="O338" i="1"/>
  <c r="N339" i="1"/>
  <c r="O339" i="1"/>
  <c r="N340" i="1"/>
  <c r="O340" i="1"/>
  <c r="N341" i="1"/>
  <c r="O341" i="1"/>
  <c r="N342" i="1"/>
  <c r="O342" i="1"/>
  <c r="N343" i="1"/>
  <c r="O343" i="1"/>
  <c r="N344" i="1"/>
  <c r="O344" i="1"/>
  <c r="N345" i="1"/>
  <c r="O345" i="1"/>
  <c r="N346" i="1"/>
  <c r="O346" i="1"/>
  <c r="N347" i="1"/>
  <c r="O347" i="1"/>
  <c r="N348" i="1"/>
  <c r="O348" i="1"/>
  <c r="N349" i="1"/>
  <c r="O349" i="1"/>
  <c r="N350" i="1"/>
  <c r="O350" i="1"/>
  <c r="N351" i="1"/>
  <c r="O351" i="1"/>
  <c r="N352" i="1"/>
  <c r="O352" i="1"/>
  <c r="N353" i="1"/>
  <c r="O353" i="1"/>
  <c r="N354" i="1"/>
  <c r="O354" i="1"/>
  <c r="N355" i="1"/>
  <c r="O355" i="1"/>
  <c r="N356" i="1"/>
  <c r="O356" i="1"/>
  <c r="N357" i="1"/>
  <c r="O357" i="1"/>
  <c r="N358" i="1"/>
  <c r="O358" i="1"/>
  <c r="N359" i="1"/>
  <c r="O359" i="1"/>
  <c r="N360" i="1"/>
  <c r="O360" i="1"/>
  <c r="N361" i="1"/>
  <c r="O361" i="1"/>
  <c r="N362" i="1"/>
  <c r="O362" i="1"/>
  <c r="N363" i="1"/>
  <c r="O363" i="1"/>
  <c r="N364" i="1"/>
  <c r="O364" i="1"/>
  <c r="N365" i="1"/>
  <c r="O365" i="1"/>
  <c r="N366" i="1"/>
  <c r="O366" i="1"/>
  <c r="N367" i="1"/>
  <c r="O367" i="1"/>
  <c r="N368" i="1"/>
  <c r="O368" i="1"/>
  <c r="N369" i="1"/>
  <c r="O369" i="1"/>
  <c r="N370" i="1"/>
  <c r="O370" i="1"/>
  <c r="N371" i="1"/>
  <c r="O371" i="1"/>
  <c r="N372" i="1"/>
  <c r="O372" i="1"/>
  <c r="N373" i="1"/>
  <c r="O373" i="1"/>
  <c r="N374" i="1"/>
  <c r="O374" i="1"/>
  <c r="N375" i="1"/>
  <c r="O375" i="1"/>
  <c r="N376" i="1"/>
  <c r="O376" i="1"/>
  <c r="N377" i="1"/>
  <c r="O377" i="1"/>
  <c r="N378" i="1"/>
  <c r="O378" i="1"/>
  <c r="N379" i="1"/>
  <c r="O379" i="1"/>
  <c r="N380" i="1"/>
  <c r="O380" i="1"/>
  <c r="N381" i="1"/>
  <c r="O381" i="1"/>
  <c r="N382" i="1"/>
  <c r="O382" i="1"/>
  <c r="N383" i="1"/>
  <c r="O383" i="1"/>
  <c r="N384" i="1"/>
  <c r="O384" i="1"/>
  <c r="N385" i="1"/>
  <c r="O385" i="1"/>
  <c r="N386" i="1"/>
  <c r="O386" i="1"/>
  <c r="N387" i="1"/>
  <c r="O387" i="1"/>
  <c r="N388" i="1"/>
  <c r="O388" i="1"/>
  <c r="N389" i="1"/>
  <c r="O389" i="1"/>
  <c r="N390" i="1"/>
  <c r="O390" i="1"/>
  <c r="N391" i="1"/>
  <c r="O391" i="1"/>
  <c r="N392" i="1"/>
  <c r="O392" i="1"/>
  <c r="N393" i="1"/>
  <c r="O393" i="1"/>
  <c r="N394" i="1"/>
  <c r="O394" i="1"/>
  <c r="N395" i="1"/>
  <c r="O395" i="1"/>
  <c r="N396" i="1"/>
  <c r="O396" i="1"/>
  <c r="N397" i="1"/>
  <c r="O397" i="1"/>
  <c r="N398" i="1"/>
  <c r="O398" i="1"/>
  <c r="N399" i="1"/>
  <c r="O399" i="1"/>
  <c r="N400" i="1"/>
  <c r="O400" i="1"/>
  <c r="N401" i="1"/>
  <c r="O401" i="1"/>
  <c r="N402" i="1"/>
  <c r="O402" i="1"/>
  <c r="N403" i="1"/>
  <c r="O403" i="1"/>
  <c r="N404" i="1"/>
  <c r="O404" i="1"/>
  <c r="N405" i="1"/>
  <c r="O405" i="1"/>
  <c r="N406" i="1"/>
  <c r="O406" i="1"/>
  <c r="N407" i="1"/>
  <c r="O407" i="1"/>
  <c r="N408" i="1"/>
  <c r="O408" i="1"/>
  <c r="N409" i="1"/>
  <c r="O409" i="1"/>
  <c r="N410" i="1"/>
  <c r="O410" i="1"/>
  <c r="N411" i="1"/>
  <c r="O411" i="1"/>
  <c r="N412" i="1"/>
  <c r="O412" i="1"/>
  <c r="N413" i="1"/>
  <c r="O413" i="1"/>
  <c r="N414" i="1"/>
  <c r="O414" i="1"/>
  <c r="N415" i="1"/>
  <c r="O415" i="1"/>
  <c r="N416" i="1"/>
  <c r="O416" i="1"/>
  <c r="N417" i="1"/>
  <c r="O417" i="1"/>
  <c r="N418" i="1"/>
  <c r="O418" i="1"/>
  <c r="N419" i="1"/>
  <c r="O419" i="1"/>
  <c r="N420" i="1"/>
  <c r="O420" i="1"/>
  <c r="N421" i="1"/>
  <c r="O421" i="1"/>
  <c r="N422" i="1"/>
  <c r="O422" i="1"/>
  <c r="N423" i="1"/>
  <c r="O423" i="1"/>
  <c r="N424" i="1"/>
  <c r="O424" i="1"/>
  <c r="N425" i="1"/>
  <c r="O425" i="1"/>
  <c r="N426" i="1"/>
  <c r="O426" i="1"/>
  <c r="N427" i="1"/>
  <c r="O427" i="1"/>
  <c r="N428" i="1"/>
  <c r="O428" i="1"/>
  <c r="N429" i="1"/>
  <c r="O429" i="1"/>
  <c r="N430" i="1"/>
  <c r="O430" i="1"/>
  <c r="N431" i="1"/>
  <c r="O431" i="1"/>
  <c r="N432" i="1"/>
  <c r="O432" i="1"/>
  <c r="N433" i="1"/>
  <c r="O433" i="1"/>
  <c r="N434" i="1"/>
  <c r="O434" i="1"/>
  <c r="N435" i="1"/>
  <c r="O435" i="1"/>
  <c r="N436" i="1"/>
  <c r="O436" i="1"/>
  <c r="N437" i="1"/>
  <c r="O437" i="1"/>
  <c r="N438" i="1"/>
  <c r="O438" i="1"/>
  <c r="N439" i="1"/>
  <c r="O439" i="1"/>
  <c r="N440" i="1"/>
  <c r="O440" i="1"/>
  <c r="N441" i="1"/>
  <c r="O441" i="1"/>
  <c r="N442" i="1"/>
  <c r="O442" i="1"/>
  <c r="N443" i="1"/>
  <c r="O443" i="1"/>
  <c r="N444" i="1"/>
  <c r="O444" i="1"/>
  <c r="N445" i="1"/>
  <c r="O445" i="1"/>
  <c r="N446" i="1"/>
  <c r="O446" i="1"/>
  <c r="N447" i="1"/>
  <c r="O447" i="1"/>
  <c r="N448" i="1"/>
  <c r="O448" i="1"/>
  <c r="N449" i="1"/>
  <c r="O449" i="1"/>
  <c r="N450" i="1"/>
  <c r="O450" i="1"/>
  <c r="N451" i="1"/>
  <c r="O451" i="1"/>
  <c r="N452" i="1"/>
  <c r="O452" i="1"/>
  <c r="N453" i="1"/>
  <c r="O453" i="1"/>
  <c r="N454" i="1"/>
  <c r="O454" i="1"/>
  <c r="N455" i="1"/>
  <c r="O455" i="1"/>
  <c r="N456" i="1"/>
  <c r="O456" i="1"/>
  <c r="N457" i="1"/>
  <c r="O457" i="1"/>
  <c r="N458" i="1"/>
  <c r="O458" i="1"/>
  <c r="N459" i="1"/>
  <c r="O459" i="1"/>
  <c r="N460" i="1"/>
  <c r="O460" i="1"/>
  <c r="N461" i="1"/>
  <c r="O461" i="1"/>
  <c r="N462" i="1"/>
  <c r="O462" i="1"/>
  <c r="N463" i="1"/>
  <c r="O463" i="1"/>
  <c r="N464" i="1"/>
  <c r="O464" i="1"/>
  <c r="N465" i="1"/>
  <c r="O465" i="1"/>
  <c r="N466" i="1"/>
  <c r="O466" i="1"/>
  <c r="N467" i="1"/>
  <c r="O467" i="1"/>
  <c r="N468" i="1"/>
  <c r="O468" i="1"/>
  <c r="N469" i="1"/>
  <c r="O469" i="1"/>
  <c r="N470" i="1"/>
  <c r="O470" i="1"/>
  <c r="N471" i="1"/>
  <c r="O471" i="1"/>
  <c r="N472" i="1"/>
  <c r="O472" i="1"/>
  <c r="N473" i="1"/>
  <c r="O473" i="1"/>
  <c r="N474" i="1"/>
  <c r="O474" i="1"/>
  <c r="N475" i="1"/>
  <c r="O475" i="1"/>
  <c r="N476" i="1"/>
  <c r="N477" i="1"/>
  <c r="O477" i="1"/>
  <c r="N478" i="1"/>
  <c r="O478" i="1"/>
  <c r="N479" i="1"/>
  <c r="O479" i="1"/>
  <c r="N480" i="1"/>
  <c r="O480" i="1"/>
  <c r="N481" i="1"/>
  <c r="O481" i="1"/>
  <c r="N482" i="1"/>
  <c r="O482" i="1"/>
  <c r="N483" i="1"/>
  <c r="O483" i="1"/>
  <c r="N484" i="1"/>
  <c r="O484" i="1"/>
  <c r="N485" i="1"/>
  <c r="O485" i="1"/>
  <c r="N486" i="1"/>
  <c r="O486" i="1"/>
  <c r="N487" i="1"/>
  <c r="O487" i="1"/>
  <c r="N488" i="1"/>
  <c r="O488" i="1"/>
  <c r="N489" i="1"/>
  <c r="O489" i="1"/>
  <c r="N490" i="1"/>
  <c r="O490" i="1"/>
  <c r="N491" i="1"/>
  <c r="O491" i="1"/>
  <c r="N492" i="1"/>
  <c r="O492" i="1"/>
  <c r="N493" i="1"/>
  <c r="O493" i="1"/>
  <c r="N494" i="1"/>
  <c r="O494" i="1"/>
  <c r="N495" i="1"/>
  <c r="O495" i="1"/>
  <c r="N496" i="1"/>
  <c r="O496" i="1"/>
  <c r="N497" i="1"/>
  <c r="O497" i="1"/>
  <c r="N498" i="1"/>
  <c r="O498" i="1"/>
  <c r="N499" i="1"/>
  <c r="O499" i="1"/>
  <c r="N500" i="1"/>
  <c r="O500" i="1"/>
  <c r="O6" i="1"/>
  <c r="E16" i="8" s="1"/>
  <c r="N6" i="1"/>
  <c r="C15" i="6" l="1"/>
  <c r="C14" i="6"/>
  <c r="C13" i="6"/>
  <c r="C12" i="6"/>
  <c r="C8" i="6"/>
  <c r="C7" i="6"/>
  <c r="C6" i="6"/>
  <c r="C9" i="6"/>
  <c r="D7" i="11"/>
  <c r="G63" i="11"/>
  <c r="F63" i="11"/>
  <c r="E63" i="11"/>
  <c r="D63" i="11"/>
  <c r="G62" i="11"/>
  <c r="F62" i="11"/>
  <c r="E62" i="11"/>
  <c r="D62" i="11"/>
  <c r="G61" i="11"/>
  <c r="F61" i="11"/>
  <c r="E61" i="11"/>
  <c r="D61" i="11"/>
  <c r="G58" i="11"/>
  <c r="F58" i="11"/>
  <c r="E58" i="11"/>
  <c r="D58" i="11"/>
  <c r="G57" i="11"/>
  <c r="F57" i="11"/>
  <c r="E57" i="11"/>
  <c r="D57" i="11"/>
  <c r="G56" i="11"/>
  <c r="F56" i="11"/>
  <c r="E56" i="11"/>
  <c r="D56" i="11"/>
  <c r="G53" i="11"/>
  <c r="F53" i="11"/>
  <c r="E53" i="11"/>
  <c r="D53" i="11"/>
  <c r="G52" i="11"/>
  <c r="F52" i="11"/>
  <c r="E52" i="11"/>
  <c r="D52" i="11"/>
  <c r="G51" i="11"/>
  <c r="F51" i="11"/>
  <c r="E51" i="11"/>
  <c r="D51" i="11"/>
  <c r="G48" i="11"/>
  <c r="F48" i="11"/>
  <c r="E48" i="11"/>
  <c r="D48" i="11"/>
  <c r="G47" i="11"/>
  <c r="F47" i="11"/>
  <c r="E47" i="11"/>
  <c r="D47" i="11"/>
  <c r="G46" i="11"/>
  <c r="F46" i="11"/>
  <c r="E46" i="11"/>
  <c r="D46" i="11"/>
  <c r="G43" i="11"/>
  <c r="F43" i="11"/>
  <c r="E43" i="11"/>
  <c r="D43" i="11"/>
  <c r="G42" i="11"/>
  <c r="F42" i="11"/>
  <c r="E42" i="11"/>
  <c r="D42" i="11"/>
  <c r="G41" i="11"/>
  <c r="F41" i="11"/>
  <c r="E41" i="11"/>
  <c r="D41" i="11"/>
  <c r="G38" i="11"/>
  <c r="F38" i="11"/>
  <c r="E38" i="11"/>
  <c r="D38" i="11"/>
  <c r="G37" i="11"/>
  <c r="F37" i="11"/>
  <c r="E37" i="11"/>
  <c r="D37" i="11"/>
  <c r="G36" i="11"/>
  <c r="F36" i="11"/>
  <c r="E36" i="11"/>
  <c r="D36" i="11"/>
  <c r="G33" i="11"/>
  <c r="F33" i="11"/>
  <c r="E33" i="11"/>
  <c r="D33" i="11"/>
  <c r="G32" i="11"/>
  <c r="F32" i="11"/>
  <c r="E32" i="11"/>
  <c r="D32" i="11"/>
  <c r="G31" i="11"/>
  <c r="F31" i="11"/>
  <c r="E31" i="11"/>
  <c r="D31" i="11"/>
  <c r="G28" i="11"/>
  <c r="F28" i="11"/>
  <c r="E28" i="11"/>
  <c r="D28" i="11"/>
  <c r="G27" i="11"/>
  <c r="F27" i="11"/>
  <c r="E27" i="11"/>
  <c r="D27" i="11"/>
  <c r="G26" i="11"/>
  <c r="F26" i="11"/>
  <c r="E26" i="11"/>
  <c r="D26" i="11"/>
  <c r="G23" i="11"/>
  <c r="F23" i="11"/>
  <c r="E23" i="11"/>
  <c r="D23" i="11"/>
  <c r="G22" i="11"/>
  <c r="F22" i="11"/>
  <c r="E22" i="11"/>
  <c r="D22" i="11"/>
  <c r="G21" i="11"/>
  <c r="F21" i="11"/>
  <c r="E21" i="11"/>
  <c r="D21" i="11"/>
  <c r="G18" i="11"/>
  <c r="F18" i="11"/>
  <c r="E18" i="11"/>
  <c r="D18" i="11"/>
  <c r="G17" i="11"/>
  <c r="F17" i="11"/>
  <c r="E17" i="11"/>
  <c r="D17" i="11"/>
  <c r="G16" i="11"/>
  <c r="F16" i="11"/>
  <c r="E16" i="11"/>
  <c r="D16" i="11"/>
  <c r="G13" i="11"/>
  <c r="F13" i="11"/>
  <c r="E13" i="11"/>
  <c r="D13" i="11"/>
  <c r="G12" i="11"/>
  <c r="F12" i="11"/>
  <c r="E12" i="11"/>
  <c r="D12" i="11"/>
  <c r="G11" i="11"/>
  <c r="F11" i="11"/>
  <c r="E11" i="11"/>
  <c r="D11" i="11"/>
  <c r="G8" i="11"/>
  <c r="F8" i="11"/>
  <c r="E8" i="11"/>
  <c r="D8" i="11"/>
  <c r="G7" i="11"/>
  <c r="F7" i="11"/>
  <c r="E7" i="11"/>
  <c r="G6" i="11"/>
  <c r="F6" i="11"/>
  <c r="E6" i="11"/>
  <c r="D6" i="11"/>
  <c r="J14" i="8" l="1"/>
  <c r="E21" i="8" s="1"/>
  <c r="E54" i="10" s="1"/>
  <c r="K22" i="10"/>
  <c r="J13" i="8"/>
  <c r="E20" i="8" s="1"/>
  <c r="D53" i="10" s="1"/>
  <c r="K21" i="10"/>
  <c r="D20" i="10"/>
  <c r="E20" i="10"/>
  <c r="K18" i="10"/>
  <c r="K17" i="10"/>
  <c r="E85" i="6" s="1"/>
  <c r="J10" i="8"/>
  <c r="E13" i="8" s="1"/>
  <c r="K14" i="10"/>
  <c r="B62" i="6"/>
  <c r="F17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J9" i="8"/>
  <c r="E8" i="8" s="1"/>
  <c r="J11" i="8"/>
  <c r="E14" i="8" s="1"/>
  <c r="D83" i="6" s="1"/>
  <c r="E12" i="10"/>
  <c r="D12" i="10"/>
  <c r="K8" i="10"/>
  <c r="K9" i="10"/>
  <c r="K10" i="10"/>
  <c r="D78" i="6" s="1"/>
  <c r="K11" i="10"/>
  <c r="K13" i="10"/>
  <c r="K15" i="10"/>
  <c r="K16" i="10"/>
  <c r="K19" i="10"/>
  <c r="K7" i="10"/>
  <c r="E12" i="8"/>
  <c r="E45" i="10"/>
  <c r="C60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75" i="6"/>
  <c r="H70" i="6"/>
  <c r="H37" i="6"/>
  <c r="D45" i="10"/>
  <c r="J12" i="8"/>
  <c r="E18" i="8" s="1"/>
  <c r="F18" i="15"/>
  <c r="F37" i="15"/>
  <c r="F19" i="15"/>
  <c r="F36" i="15"/>
  <c r="F20" i="15"/>
  <c r="F21" i="15"/>
  <c r="F22" i="15"/>
  <c r="J37" i="8"/>
  <c r="E42" i="8" s="1"/>
  <c r="D62" i="6" s="1"/>
  <c r="J7" i="8"/>
  <c r="E6" i="8" s="1"/>
  <c r="D75" i="6" s="1"/>
  <c r="J8" i="8"/>
  <c r="E7" i="8" s="1"/>
  <c r="E40" i="10" s="1"/>
  <c r="P5" i="15"/>
  <c r="F9" i="15"/>
  <c r="F8" i="15"/>
  <c r="F7" i="15"/>
  <c r="F6" i="15"/>
  <c r="F5" i="15"/>
  <c r="F4" i="15"/>
  <c r="F3" i="15"/>
  <c r="F2" i="15"/>
  <c r="B6" i="17"/>
  <c r="H1" i="17"/>
  <c r="H1" i="16"/>
  <c r="H1" i="11"/>
  <c r="I1" i="10"/>
  <c r="J51" i="8"/>
  <c r="J50" i="8"/>
  <c r="J49" i="8"/>
  <c r="J48" i="8"/>
  <c r="J47" i="8"/>
  <c r="J46" i="8"/>
  <c r="J36" i="8"/>
  <c r="E41" i="8" s="1"/>
  <c r="J34" i="8"/>
  <c r="J33" i="8"/>
  <c r="E39" i="8" s="1"/>
  <c r="E59" i="6" s="1"/>
  <c r="J32" i="8"/>
  <c r="E38" i="8" s="1"/>
  <c r="D58" i="6" s="1"/>
  <c r="J31" i="8"/>
  <c r="J30" i="8"/>
  <c r="J29" i="8"/>
  <c r="E35" i="8" s="1"/>
  <c r="E55" i="6" s="1"/>
  <c r="J28" i="8"/>
  <c r="E34" i="8" s="1"/>
  <c r="E54" i="6" s="1"/>
  <c r="J27" i="8"/>
  <c r="E33" i="8" s="1"/>
  <c r="E53" i="6" s="1"/>
  <c r="J26" i="8"/>
  <c r="J25" i="8"/>
  <c r="E31" i="8" s="1"/>
  <c r="D51" i="6" s="1"/>
  <c r="J24" i="8"/>
  <c r="E30" i="8" s="1"/>
  <c r="D50" i="6" s="1"/>
  <c r="J23" i="8"/>
  <c r="J22" i="8"/>
  <c r="E28" i="8" s="1"/>
  <c r="E48" i="6" s="1"/>
  <c r="J21" i="8"/>
  <c r="E27" i="8" s="1"/>
  <c r="J20" i="8"/>
  <c r="E26" i="8" s="1"/>
  <c r="D46" i="6" s="1"/>
  <c r="J19" i="8"/>
  <c r="E25" i="8" s="1"/>
  <c r="D45" i="6" s="1"/>
  <c r="J18" i="8"/>
  <c r="J17" i="8"/>
  <c r="J16" i="8"/>
  <c r="E22" i="8" s="1"/>
  <c r="E42" i="6" s="1"/>
  <c r="H1" i="8"/>
  <c r="C62" i="6"/>
  <c r="C61" i="6"/>
  <c r="B61" i="6"/>
  <c r="B60" i="6"/>
  <c r="C59" i="6"/>
  <c r="B59" i="6"/>
  <c r="C58" i="6"/>
  <c r="B58" i="6"/>
  <c r="C57" i="6"/>
  <c r="B57" i="6"/>
  <c r="C56" i="6"/>
  <c r="B56" i="6"/>
  <c r="C55" i="6"/>
  <c r="B55" i="6"/>
  <c r="C54" i="6"/>
  <c r="B54" i="6"/>
  <c r="C53" i="6"/>
  <c r="B53" i="6"/>
  <c r="C52" i="6"/>
  <c r="B52" i="6"/>
  <c r="C51" i="6"/>
  <c r="B51" i="6"/>
  <c r="C50" i="6"/>
  <c r="B50" i="6"/>
  <c r="C49" i="6"/>
  <c r="B49" i="6"/>
  <c r="C48" i="6"/>
  <c r="B48" i="6"/>
  <c r="C47" i="6"/>
  <c r="B47" i="6"/>
  <c r="C46" i="6"/>
  <c r="B46" i="6"/>
  <c r="C45" i="6"/>
  <c r="B45" i="6"/>
  <c r="C44" i="6"/>
  <c r="B44" i="6"/>
  <c r="C43" i="6"/>
  <c r="B43" i="6"/>
  <c r="C42" i="6"/>
  <c r="B42" i="6"/>
  <c r="H1" i="6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K1" i="3"/>
  <c r="L216" i="3" s="1"/>
  <c r="K1" i="1"/>
  <c r="L193" i="1" s="1"/>
  <c r="D50" i="10"/>
  <c r="H1" i="5"/>
  <c r="L32" i="1"/>
  <c r="D81" i="6"/>
  <c r="E81" i="6"/>
  <c r="D54" i="10" l="1"/>
  <c r="D77" i="6"/>
  <c r="E53" i="10"/>
  <c r="L85" i="1"/>
  <c r="L231" i="1"/>
  <c r="L162" i="1"/>
  <c r="L56" i="1"/>
  <c r="L217" i="1"/>
  <c r="L107" i="1"/>
  <c r="L49" i="1"/>
  <c r="L118" i="1"/>
  <c r="L122" i="1"/>
  <c r="L159" i="1"/>
  <c r="L23" i="1"/>
  <c r="L140" i="1"/>
  <c r="L100" i="1"/>
  <c r="L173" i="1"/>
  <c r="L114" i="1"/>
  <c r="L26" i="1"/>
  <c r="L117" i="3"/>
  <c r="L169" i="1"/>
  <c r="L235" i="1"/>
  <c r="L180" i="1"/>
  <c r="L58" i="3"/>
  <c r="L85" i="3"/>
  <c r="L173" i="3"/>
  <c r="L99" i="3"/>
  <c r="L224" i="3"/>
  <c r="L198" i="3"/>
  <c r="L191" i="3"/>
  <c r="L88" i="3"/>
  <c r="L28" i="3"/>
  <c r="F35" i="15"/>
  <c r="F39" i="15" s="1"/>
  <c r="L157" i="3"/>
  <c r="L77" i="3"/>
  <c r="L237" i="1"/>
  <c r="L71" i="1"/>
  <c r="L88" i="1"/>
  <c r="L31" i="1"/>
  <c r="L213" i="1"/>
  <c r="L135" i="1"/>
  <c r="L148" i="3"/>
  <c r="L68" i="3"/>
  <c r="L105" i="3"/>
  <c r="L138" i="3"/>
  <c r="L130" i="3"/>
  <c r="L37" i="3"/>
  <c r="L214" i="1"/>
  <c r="L21" i="1"/>
  <c r="L52" i="1"/>
  <c r="L103" i="1"/>
  <c r="L157" i="1"/>
  <c r="L226" i="1"/>
  <c r="L163" i="1"/>
  <c r="L191" i="1"/>
  <c r="L80" i="1"/>
  <c r="L151" i="1"/>
  <c r="L58" i="1"/>
  <c r="L204" i="1"/>
  <c r="L218" i="3"/>
  <c r="L195" i="3"/>
  <c r="L219" i="3"/>
  <c r="L7" i="3"/>
  <c r="L83" i="3"/>
  <c r="L10" i="1"/>
  <c r="L102" i="1"/>
  <c r="L125" i="1"/>
  <c r="L195" i="1"/>
  <c r="E37" i="8"/>
  <c r="D57" i="6" s="1"/>
  <c r="L208" i="3"/>
  <c r="L70" i="3"/>
  <c r="L44" i="3"/>
  <c r="L57" i="3"/>
  <c r="L167" i="3"/>
  <c r="L124" i="3"/>
  <c r="L211" i="3"/>
  <c r="L61" i="3"/>
  <c r="L140" i="3"/>
  <c r="L155" i="3"/>
  <c r="L90" i="3"/>
  <c r="L29" i="3"/>
  <c r="L15" i="3"/>
  <c r="L137" i="3"/>
  <c r="L150" i="3"/>
  <c r="L166" i="3"/>
  <c r="L94" i="3"/>
  <c r="L25" i="3"/>
  <c r="L203" i="3"/>
  <c r="L91" i="3"/>
  <c r="L123" i="3"/>
  <c r="L159" i="3"/>
  <c r="L48" i="3"/>
  <c r="L35" i="3"/>
  <c r="L132" i="3"/>
  <c r="L180" i="3"/>
  <c r="L62" i="3"/>
  <c r="L184" i="3"/>
  <c r="L187" i="3"/>
  <c r="L97" i="3"/>
  <c r="L204" i="3"/>
  <c r="L74" i="3"/>
  <c r="L161" i="3"/>
  <c r="L227" i="3"/>
  <c r="L131" i="3"/>
  <c r="L119" i="3"/>
  <c r="L164" i="3"/>
  <c r="L36" i="3"/>
  <c r="L202" i="3"/>
  <c r="E24" i="8"/>
  <c r="D44" i="6" s="1"/>
  <c r="E32" i="8"/>
  <c r="E52" i="6" s="1"/>
  <c r="E36" i="8"/>
  <c r="D56" i="6" s="1"/>
  <c r="E40" i="8"/>
  <c r="D60" i="6" s="1"/>
  <c r="E29" i="8"/>
  <c r="D49" i="6" s="1"/>
  <c r="L136" i="3"/>
  <c r="L10" i="3"/>
  <c r="L182" i="3"/>
  <c r="L162" i="3"/>
  <c r="L178" i="3"/>
  <c r="L93" i="3"/>
  <c r="L192" i="3"/>
  <c r="L139" i="3"/>
  <c r="L129" i="3"/>
  <c r="L194" i="3"/>
  <c r="L59" i="3"/>
  <c r="L45" i="3"/>
  <c r="L196" i="3"/>
  <c r="L118" i="3"/>
  <c r="L46" i="3"/>
  <c r="L135" i="3"/>
  <c r="L228" i="3"/>
  <c r="L213" i="3"/>
  <c r="L65" i="3"/>
  <c r="L222" i="3"/>
  <c r="L110" i="3"/>
  <c r="L126" i="3"/>
  <c r="L56" i="3"/>
  <c r="L20" i="3"/>
  <c r="L189" i="3"/>
  <c r="L199" i="3"/>
  <c r="L121" i="3"/>
  <c r="L141" i="3"/>
  <c r="L165" i="3"/>
  <c r="L200" i="3"/>
  <c r="L47" i="3"/>
  <c r="L98" i="3"/>
  <c r="E23" i="8"/>
  <c r="E43" i="6" s="1"/>
  <c r="L55" i="1"/>
  <c r="L119" i="1"/>
  <c r="L236" i="1"/>
  <c r="L212" i="1"/>
  <c r="L219" i="1"/>
  <c r="L66" i="1"/>
  <c r="L14" i="1"/>
  <c r="L60" i="1"/>
  <c r="L129" i="1"/>
  <c r="L231" i="3"/>
  <c r="L243" i="3"/>
  <c r="L255" i="3"/>
  <c r="L267" i="3"/>
  <c r="L279" i="3"/>
  <c r="L291" i="3"/>
  <c r="L303" i="3"/>
  <c r="L315" i="3"/>
  <c r="L327" i="3"/>
  <c r="L339" i="3"/>
  <c r="L351" i="3"/>
  <c r="L363" i="3"/>
  <c r="L375" i="3"/>
  <c r="L387" i="3"/>
  <c r="L399" i="3"/>
  <c r="L411" i="3"/>
  <c r="L423" i="3"/>
  <c r="L435" i="3"/>
  <c r="L447" i="3"/>
  <c r="L459" i="3"/>
  <c r="L471" i="3"/>
  <c r="L483" i="3"/>
  <c r="L495" i="3"/>
  <c r="L477" i="3"/>
  <c r="L301" i="3"/>
  <c r="L397" i="3"/>
  <c r="L254" i="3"/>
  <c r="L362" i="3"/>
  <c r="L458" i="3"/>
  <c r="L232" i="3"/>
  <c r="L244" i="3"/>
  <c r="L256" i="3"/>
  <c r="L268" i="3"/>
  <c r="L280" i="3"/>
  <c r="L292" i="3"/>
  <c r="L304" i="3"/>
  <c r="L316" i="3"/>
  <c r="L328" i="3"/>
  <c r="L340" i="3"/>
  <c r="L352" i="3"/>
  <c r="L364" i="3"/>
  <c r="L376" i="3"/>
  <c r="L388" i="3"/>
  <c r="L400" i="3"/>
  <c r="L412" i="3"/>
  <c r="L424" i="3"/>
  <c r="L436" i="3"/>
  <c r="L448" i="3"/>
  <c r="L460" i="3"/>
  <c r="L472" i="3"/>
  <c r="L484" i="3"/>
  <c r="L496" i="3"/>
  <c r="L489" i="3"/>
  <c r="L325" i="3"/>
  <c r="L421" i="3"/>
  <c r="L278" i="3"/>
  <c r="L386" i="3"/>
  <c r="L233" i="3"/>
  <c r="L245" i="3"/>
  <c r="L257" i="3"/>
  <c r="L269" i="3"/>
  <c r="L281" i="3"/>
  <c r="L293" i="3"/>
  <c r="L305" i="3"/>
  <c r="L317" i="3"/>
  <c r="L329" i="3"/>
  <c r="L341" i="3"/>
  <c r="L353" i="3"/>
  <c r="L365" i="3"/>
  <c r="L377" i="3"/>
  <c r="L389" i="3"/>
  <c r="L401" i="3"/>
  <c r="L413" i="3"/>
  <c r="L425" i="3"/>
  <c r="L437" i="3"/>
  <c r="L449" i="3"/>
  <c r="L461" i="3"/>
  <c r="L473" i="3"/>
  <c r="L485" i="3"/>
  <c r="L497" i="3"/>
  <c r="L453" i="3"/>
  <c r="L466" i="3"/>
  <c r="L361" i="3"/>
  <c r="L493" i="3"/>
  <c r="L338" i="3"/>
  <c r="L434" i="3"/>
  <c r="L234" i="3"/>
  <c r="L246" i="3"/>
  <c r="L258" i="3"/>
  <c r="L270" i="3"/>
  <c r="L282" i="3"/>
  <c r="L294" i="3"/>
  <c r="L306" i="3"/>
  <c r="L318" i="3"/>
  <c r="L330" i="3"/>
  <c r="L342" i="3"/>
  <c r="L354" i="3"/>
  <c r="L366" i="3"/>
  <c r="L378" i="3"/>
  <c r="L390" i="3"/>
  <c r="L402" i="3"/>
  <c r="L414" i="3"/>
  <c r="L426" i="3"/>
  <c r="L438" i="3"/>
  <c r="L450" i="3"/>
  <c r="L462" i="3"/>
  <c r="L474" i="3"/>
  <c r="L486" i="3"/>
  <c r="L498" i="3"/>
  <c r="L465" i="3"/>
  <c r="L478" i="3"/>
  <c r="L373" i="3"/>
  <c r="L481" i="3"/>
  <c r="L302" i="3"/>
  <c r="L422" i="3"/>
  <c r="L235" i="3"/>
  <c r="L247" i="3"/>
  <c r="L259" i="3"/>
  <c r="L271" i="3"/>
  <c r="L283" i="3"/>
  <c r="L295" i="3"/>
  <c r="L307" i="3"/>
  <c r="L319" i="3"/>
  <c r="L331" i="3"/>
  <c r="L343" i="3"/>
  <c r="L355" i="3"/>
  <c r="L367" i="3"/>
  <c r="L379" i="3"/>
  <c r="L391" i="3"/>
  <c r="L403" i="3"/>
  <c r="L415" i="3"/>
  <c r="L427" i="3"/>
  <c r="L439" i="3"/>
  <c r="L451" i="3"/>
  <c r="L463" i="3"/>
  <c r="L475" i="3"/>
  <c r="L487" i="3"/>
  <c r="L499" i="3"/>
  <c r="L441" i="3"/>
  <c r="L454" i="3"/>
  <c r="L349" i="3"/>
  <c r="L242" i="3"/>
  <c r="L374" i="3"/>
  <c r="L482" i="3"/>
  <c r="L236" i="3"/>
  <c r="L248" i="3"/>
  <c r="L260" i="3"/>
  <c r="L272" i="3"/>
  <c r="L284" i="3"/>
  <c r="L296" i="3"/>
  <c r="L308" i="3"/>
  <c r="L320" i="3"/>
  <c r="L332" i="3"/>
  <c r="L344" i="3"/>
  <c r="L356" i="3"/>
  <c r="L368" i="3"/>
  <c r="L380" i="3"/>
  <c r="L392" i="3"/>
  <c r="L404" i="3"/>
  <c r="L416" i="3"/>
  <c r="L428" i="3"/>
  <c r="L440" i="3"/>
  <c r="L452" i="3"/>
  <c r="L464" i="3"/>
  <c r="L476" i="3"/>
  <c r="L488" i="3"/>
  <c r="L500" i="3"/>
  <c r="L501" i="3"/>
  <c r="L313" i="3"/>
  <c r="L433" i="3"/>
  <c r="L266" i="3"/>
  <c r="L398" i="3"/>
  <c r="L237" i="3"/>
  <c r="L249" i="3"/>
  <c r="L261" i="3"/>
  <c r="L273" i="3"/>
  <c r="L285" i="3"/>
  <c r="L297" i="3"/>
  <c r="L309" i="3"/>
  <c r="L321" i="3"/>
  <c r="L333" i="3"/>
  <c r="L345" i="3"/>
  <c r="L357" i="3"/>
  <c r="L369" i="3"/>
  <c r="L381" i="3"/>
  <c r="L393" i="3"/>
  <c r="L405" i="3"/>
  <c r="L417" i="3"/>
  <c r="L429" i="3"/>
  <c r="L289" i="3"/>
  <c r="L445" i="3"/>
  <c r="L350" i="3"/>
  <c r="L494" i="3"/>
  <c r="L238" i="3"/>
  <c r="L250" i="3"/>
  <c r="L262" i="3"/>
  <c r="L274" i="3"/>
  <c r="L286" i="3"/>
  <c r="L298" i="3"/>
  <c r="L310" i="3"/>
  <c r="L322" i="3"/>
  <c r="L334" i="3"/>
  <c r="L346" i="3"/>
  <c r="L358" i="3"/>
  <c r="L370" i="3"/>
  <c r="L382" i="3"/>
  <c r="L394" i="3"/>
  <c r="L406" i="3"/>
  <c r="L418" i="3"/>
  <c r="L430" i="3"/>
  <c r="L442" i="3"/>
  <c r="L490" i="3"/>
  <c r="L409" i="3"/>
  <c r="L326" i="3"/>
  <c r="L470" i="3"/>
  <c r="L239" i="3"/>
  <c r="L251" i="3"/>
  <c r="L263" i="3"/>
  <c r="L275" i="3"/>
  <c r="L287" i="3"/>
  <c r="L299" i="3"/>
  <c r="L311" i="3"/>
  <c r="L323" i="3"/>
  <c r="L335" i="3"/>
  <c r="L347" i="3"/>
  <c r="L359" i="3"/>
  <c r="L371" i="3"/>
  <c r="L383" i="3"/>
  <c r="L395" i="3"/>
  <c r="L407" i="3"/>
  <c r="L419" i="3"/>
  <c r="L431" i="3"/>
  <c r="L443" i="3"/>
  <c r="L455" i="3"/>
  <c r="L467" i="3"/>
  <c r="L479" i="3"/>
  <c r="L491" i="3"/>
  <c r="L253" i="3"/>
  <c r="L277" i="3"/>
  <c r="L385" i="3"/>
  <c r="L469" i="3"/>
  <c r="L314" i="3"/>
  <c r="L410" i="3"/>
  <c r="L240" i="3"/>
  <c r="L252" i="3"/>
  <c r="L264" i="3"/>
  <c r="L276" i="3"/>
  <c r="L288" i="3"/>
  <c r="L300" i="3"/>
  <c r="L312" i="3"/>
  <c r="L324" i="3"/>
  <c r="L336" i="3"/>
  <c r="L348" i="3"/>
  <c r="L360" i="3"/>
  <c r="L372" i="3"/>
  <c r="L384" i="3"/>
  <c r="L396" i="3"/>
  <c r="L408" i="3"/>
  <c r="L420" i="3"/>
  <c r="L432" i="3"/>
  <c r="L444" i="3"/>
  <c r="L456" i="3"/>
  <c r="L468" i="3"/>
  <c r="L480" i="3"/>
  <c r="L492" i="3"/>
  <c r="L241" i="3"/>
  <c r="L265" i="3"/>
  <c r="L337" i="3"/>
  <c r="L457" i="3"/>
  <c r="L290" i="3"/>
  <c r="L446" i="3"/>
  <c r="L105" i="1"/>
  <c r="L75" i="1"/>
  <c r="L39" i="1"/>
  <c r="L16" i="1"/>
  <c r="L64" i="1"/>
  <c r="L139" i="1"/>
  <c r="L18" i="1"/>
  <c r="L99" i="1"/>
  <c r="L146" i="1"/>
  <c r="L220" i="1"/>
  <c r="L150" i="1"/>
  <c r="L252" i="1"/>
  <c r="L34" i="1"/>
  <c r="L108" i="1"/>
  <c r="L199" i="1"/>
  <c r="L53" i="1"/>
  <c r="L112" i="1"/>
  <c r="L205" i="1"/>
  <c r="L89" i="1"/>
  <c r="L161" i="1"/>
  <c r="L38" i="1"/>
  <c r="L113" i="1"/>
  <c r="L207" i="1"/>
  <c r="L222" i="1"/>
  <c r="E15" i="8"/>
  <c r="E48" i="10" s="1"/>
  <c r="E50" i="6"/>
  <c r="D51" i="10"/>
  <c r="E61" i="6"/>
  <c r="E50" i="10"/>
  <c r="E86" i="6"/>
  <c r="D86" i="6"/>
  <c r="E89" i="6"/>
  <c r="D89" i="6"/>
  <c r="D82" i="6"/>
  <c r="E82" i="6"/>
  <c r="E90" i="6"/>
  <c r="D90" i="6"/>
  <c r="E58" i="6"/>
  <c r="E11" i="8"/>
  <c r="E44" i="10" s="1"/>
  <c r="L149" i="1"/>
  <c r="L170" i="1"/>
  <c r="L28" i="1"/>
  <c r="L72" i="1"/>
  <c r="L47" i="1"/>
  <c r="L37" i="1"/>
  <c r="L171" i="1"/>
  <c r="L253" i="1"/>
  <c r="L251" i="1"/>
  <c r="L15" i="1"/>
  <c r="L188" i="1"/>
  <c r="L255" i="1"/>
  <c r="L184" i="1"/>
  <c r="L194" i="1"/>
  <c r="L98" i="1"/>
  <c r="L106" i="1"/>
  <c r="L240" i="1"/>
  <c r="L8" i="1"/>
  <c r="L224" i="1"/>
  <c r="L230" i="1"/>
  <c r="L242" i="1"/>
  <c r="L244" i="1"/>
  <c r="L94" i="1"/>
  <c r="L22" i="1"/>
  <c r="L245" i="1"/>
  <c r="L215" i="1"/>
  <c r="L82" i="1"/>
  <c r="L78" i="1"/>
  <c r="L29" i="1"/>
  <c r="L227" i="1"/>
  <c r="L209" i="1"/>
  <c r="L19" i="1"/>
  <c r="L50" i="1"/>
  <c r="L117" i="1"/>
  <c r="L11" i="1"/>
  <c r="L243" i="1"/>
  <c r="E46" i="10"/>
  <c r="D46" i="10"/>
  <c r="L13" i="1"/>
  <c r="L115" i="1"/>
  <c r="L201" i="1"/>
  <c r="L130" i="1"/>
  <c r="L30" i="1"/>
  <c r="L181" i="1"/>
  <c r="L138" i="1"/>
  <c r="L51" i="1"/>
  <c r="L44" i="1"/>
  <c r="L127" i="1"/>
  <c r="L198" i="1"/>
  <c r="L203" i="1"/>
  <c r="L137" i="1"/>
  <c r="L90" i="1"/>
  <c r="L141" i="1"/>
  <c r="L59" i="1"/>
  <c r="L144" i="1"/>
  <c r="L101" i="1"/>
  <c r="L233" i="1"/>
  <c r="L208" i="1"/>
  <c r="L211" i="1"/>
  <c r="L91" i="1"/>
  <c r="L68" i="1"/>
  <c r="L126" i="1"/>
  <c r="L177" i="1"/>
  <c r="L57" i="1"/>
  <c r="L168" i="1"/>
  <c r="L178" i="1"/>
  <c r="L143" i="1"/>
  <c r="L17" i="1"/>
  <c r="L76" i="1"/>
  <c r="L84" i="1"/>
  <c r="L133" i="1"/>
  <c r="L225" i="1"/>
  <c r="L176" i="1"/>
  <c r="L232" i="1"/>
  <c r="L147" i="1"/>
  <c r="L27" i="1"/>
  <c r="L86" i="1"/>
  <c r="L92" i="1"/>
  <c r="L223" i="1"/>
  <c r="L79" i="1"/>
  <c r="L247" i="1"/>
  <c r="L238" i="1"/>
  <c r="L165" i="1"/>
  <c r="L54" i="1"/>
  <c r="L121" i="1"/>
  <c r="L166" i="1"/>
  <c r="L83" i="1"/>
  <c r="L70" i="1"/>
  <c r="L25" i="1"/>
  <c r="L33" i="1"/>
  <c r="L35" i="1"/>
  <c r="L41" i="1"/>
  <c r="L43" i="1"/>
  <c r="L45" i="1"/>
  <c r="L61" i="1"/>
  <c r="L63" i="1"/>
  <c r="L65" i="1"/>
  <c r="L69" i="1"/>
  <c r="L73" i="1"/>
  <c r="L104" i="1"/>
  <c r="L116" i="1"/>
  <c r="L120" i="1"/>
  <c r="L134" i="1"/>
  <c r="L136" i="1"/>
  <c r="L148" i="1"/>
  <c r="L152" i="1"/>
  <c r="L154" i="1"/>
  <c r="L158" i="1"/>
  <c r="L172" i="1"/>
  <c r="L182" i="1"/>
  <c r="L186" i="1"/>
  <c r="L190" i="1"/>
  <c r="L192" i="1"/>
  <c r="L202" i="1"/>
  <c r="L206" i="1"/>
  <c r="L210" i="1"/>
  <c r="L218" i="1"/>
  <c r="E47" i="6"/>
  <c r="D47" i="6"/>
  <c r="L160" i="1"/>
  <c r="L24" i="1"/>
  <c r="L81" i="1"/>
  <c r="L167" i="1"/>
  <c r="L36" i="1"/>
  <c r="L128" i="1"/>
  <c r="L185" i="1"/>
  <c r="L200" i="1"/>
  <c r="L87" i="1"/>
  <c r="L239" i="1"/>
  <c r="L12" i="1"/>
  <c r="L254" i="1"/>
  <c r="L234" i="1"/>
  <c r="L155" i="1"/>
  <c r="L183" i="1"/>
  <c r="L110" i="1"/>
  <c r="D54" i="6"/>
  <c r="L197" i="1"/>
  <c r="L77" i="1"/>
  <c r="L20" i="1"/>
  <c r="L74" i="1"/>
  <c r="L187" i="1"/>
  <c r="L67" i="1"/>
  <c r="L164" i="1"/>
  <c r="L174" i="1"/>
  <c r="L153" i="1"/>
  <c r="L241" i="1"/>
  <c r="L216" i="1"/>
  <c r="L95" i="1"/>
  <c r="L124" i="1"/>
  <c r="L228" i="1"/>
  <c r="L109" i="1"/>
  <c r="L249" i="1"/>
  <c r="L40" i="1"/>
  <c r="L229" i="1"/>
  <c r="L123" i="1"/>
  <c r="L132" i="1"/>
  <c r="L142" i="1"/>
  <c r="L175" i="1"/>
  <c r="L46" i="1"/>
  <c r="L111" i="1"/>
  <c r="L156" i="1"/>
  <c r="L9" i="1"/>
  <c r="L196" i="1"/>
  <c r="L62" i="1"/>
  <c r="L93" i="1"/>
  <c r="L131" i="1"/>
  <c r="L96" i="1"/>
  <c r="L189" i="1"/>
  <c r="L248" i="1"/>
  <c r="L179" i="1"/>
  <c r="L7" i="1"/>
  <c r="L97" i="1"/>
  <c r="L246" i="1"/>
  <c r="L250" i="1"/>
  <c r="K20" i="10"/>
  <c r="E23" i="10"/>
  <c r="D49" i="10"/>
  <c r="L6" i="1"/>
  <c r="L42" i="1"/>
  <c r="L48" i="1"/>
  <c r="L145" i="1"/>
  <c r="L168" i="3"/>
  <c r="L156" i="3"/>
  <c r="L212" i="3"/>
  <c r="L209" i="3"/>
  <c r="L220" i="3"/>
  <c r="L229" i="3"/>
  <c r="L201" i="3"/>
  <c r="L53" i="3"/>
  <c r="L185" i="3"/>
  <c r="L21" i="3"/>
  <c r="L24" i="3"/>
  <c r="L169" i="3"/>
  <c r="L113" i="3"/>
  <c r="L109" i="3"/>
  <c r="L145" i="3"/>
  <c r="L181" i="3"/>
  <c r="L205" i="3"/>
  <c r="L84" i="3"/>
  <c r="L188" i="3"/>
  <c r="L13" i="3"/>
  <c r="L133" i="3"/>
  <c r="L120" i="3"/>
  <c r="L12" i="3"/>
  <c r="L116" i="3"/>
  <c r="L153" i="3"/>
  <c r="L172" i="3"/>
  <c r="L69" i="3"/>
  <c r="L33" i="3"/>
  <c r="L16" i="3"/>
  <c r="L40" i="3"/>
  <c r="L177" i="3"/>
  <c r="L221" i="3"/>
  <c r="L92" i="3"/>
  <c r="L104" i="3"/>
  <c r="L38" i="3"/>
  <c r="L27" i="3"/>
  <c r="L96" i="3"/>
  <c r="L34" i="3"/>
  <c r="L23" i="3"/>
  <c r="L41" i="3"/>
  <c r="L89" i="3"/>
  <c r="L149" i="3"/>
  <c r="L197" i="3"/>
  <c r="L78" i="3"/>
  <c r="L63" i="3"/>
  <c r="L186" i="3"/>
  <c r="L17" i="3"/>
  <c r="L49" i="3"/>
  <c r="L103" i="3"/>
  <c r="L151" i="3"/>
  <c r="L193" i="3"/>
  <c r="L144" i="3"/>
  <c r="L171" i="3"/>
  <c r="L125" i="3"/>
  <c r="L170" i="3"/>
  <c r="L80" i="3"/>
  <c r="L128" i="3"/>
  <c r="L60" i="3"/>
  <c r="L226" i="3"/>
  <c r="L67" i="3"/>
  <c r="L176" i="3"/>
  <c r="L50" i="3"/>
  <c r="L26" i="3"/>
  <c r="L75" i="3"/>
  <c r="L207" i="3"/>
  <c r="L122" i="3"/>
  <c r="L108" i="3"/>
  <c r="L42" i="3"/>
  <c r="L225" i="3"/>
  <c r="L22" i="3"/>
  <c r="L64" i="3"/>
  <c r="L100" i="3"/>
  <c r="L142" i="3"/>
  <c r="L190" i="3"/>
  <c r="D79" i="6"/>
  <c r="L8" i="3"/>
  <c r="L214" i="3"/>
  <c r="L160" i="3"/>
  <c r="L112" i="3"/>
  <c r="L52" i="3"/>
  <c r="L152" i="3"/>
  <c r="L14" i="3"/>
  <c r="L102" i="3"/>
  <c r="L223" i="3"/>
  <c r="L147" i="3"/>
  <c r="L39" i="3"/>
  <c r="L55" i="3"/>
  <c r="L73" i="3"/>
  <c r="L183" i="3"/>
  <c r="L9" i="3"/>
  <c r="L66" i="3"/>
  <c r="L81" i="3"/>
  <c r="L217" i="3"/>
  <c r="L175" i="3"/>
  <c r="L115" i="3"/>
  <c r="L43" i="3"/>
  <c r="L72" i="3"/>
  <c r="L76" i="3"/>
  <c r="L179" i="3"/>
  <c r="L101" i="3"/>
  <c r="L6" i="3"/>
  <c r="L51" i="3"/>
  <c r="L32" i="3"/>
  <c r="L127" i="3"/>
  <c r="L154" i="3"/>
  <c r="L146" i="3"/>
  <c r="L87" i="3"/>
  <c r="L215" i="3"/>
  <c r="L163" i="3"/>
  <c r="L143" i="3"/>
  <c r="L111" i="3"/>
  <c r="L107" i="3"/>
  <c r="L95" i="3"/>
  <c r="L79" i="3"/>
  <c r="L71" i="3"/>
  <c r="L31" i="3"/>
  <c r="L19" i="3"/>
  <c r="L11" i="3"/>
  <c r="L221" i="1"/>
  <c r="L230" i="3"/>
  <c r="L210" i="3"/>
  <c r="L206" i="3"/>
  <c r="L174" i="3"/>
  <c r="L158" i="3"/>
  <c r="L134" i="3"/>
  <c r="L114" i="3"/>
  <c r="L106" i="3"/>
  <c r="L86" i="3"/>
  <c r="L82" i="3"/>
  <c r="L54" i="3"/>
  <c r="L18" i="3"/>
  <c r="E19" i="8"/>
  <c r="E46" i="6"/>
  <c r="D59" i="6"/>
  <c r="E51" i="6"/>
  <c r="D42" i="6"/>
  <c r="D39" i="10"/>
  <c r="E62" i="6"/>
  <c r="K12" i="10"/>
  <c r="E47" i="10"/>
  <c r="E75" i="6"/>
  <c r="E39" i="10"/>
  <c r="D41" i="10"/>
  <c r="D42" i="10"/>
  <c r="E45" i="6"/>
  <c r="E42" i="10"/>
  <c r="E83" i="6"/>
  <c r="E78" i="6"/>
  <c r="E77" i="6"/>
  <c r="D47" i="10"/>
  <c r="D40" i="10"/>
  <c r="E76" i="6"/>
  <c r="D53" i="6"/>
  <c r="E79" i="6"/>
  <c r="D76" i="6"/>
  <c r="E41" i="10"/>
  <c r="D55" i="6"/>
  <c r="E43" i="10"/>
  <c r="D43" i="10"/>
  <c r="D23" i="10"/>
  <c r="D48" i="6"/>
  <c r="E60" i="6" l="1"/>
  <c r="E49" i="6"/>
  <c r="D52" i="6"/>
  <c r="E56" i="6"/>
  <c r="D43" i="6"/>
  <c r="E57" i="6"/>
  <c r="E44" i="6"/>
  <c r="D48" i="10"/>
  <c r="D84" i="6"/>
  <c r="E84" i="6"/>
  <c r="E87" i="6"/>
  <c r="E51" i="10"/>
  <c r="D87" i="6"/>
  <c r="D61" i="6"/>
  <c r="G16" i="16"/>
  <c r="D21" i="16"/>
  <c r="E21" i="16"/>
  <c r="D44" i="10"/>
  <c r="D8" i="16"/>
  <c r="D22" i="16"/>
  <c r="E22" i="16"/>
  <c r="E16" i="16"/>
  <c r="E18" i="16"/>
  <c r="E11" i="16"/>
  <c r="E13" i="16"/>
  <c r="E80" i="6"/>
  <c r="D11" i="16"/>
  <c r="E49" i="10"/>
  <c r="D85" i="6"/>
  <c r="D23" i="16"/>
  <c r="E17" i="16"/>
  <c r="E8" i="16"/>
  <c r="D13" i="16"/>
  <c r="D7" i="16"/>
  <c r="E7" i="16"/>
  <c r="G12" i="16"/>
  <c r="G13" i="16"/>
  <c r="E88" i="6"/>
  <c r="D88" i="6"/>
  <c r="F11" i="16"/>
  <c r="G21" i="16"/>
  <c r="F12" i="16"/>
  <c r="G11" i="16"/>
  <c r="F13" i="16"/>
  <c r="G8" i="16"/>
  <c r="G8" i="17"/>
  <c r="D12" i="16"/>
  <c r="D17" i="16"/>
  <c r="E8" i="17"/>
  <c r="D16" i="16"/>
  <c r="F22" i="16"/>
  <c r="F6" i="16"/>
  <c r="F6" i="17"/>
  <c r="G6" i="17"/>
  <c r="G6" i="16"/>
  <c r="G7" i="16"/>
  <c r="G7" i="17"/>
  <c r="F21" i="16"/>
  <c r="F8" i="16"/>
  <c r="F8" i="17"/>
  <c r="G18" i="16"/>
  <c r="D18" i="16"/>
  <c r="F7" i="16"/>
  <c r="F7" i="17"/>
  <c r="F16" i="16"/>
  <c r="D25" i="10"/>
  <c r="D52" i="10"/>
  <c r="E52" i="10"/>
  <c r="G17" i="16"/>
  <c r="G23" i="16"/>
  <c r="G22" i="16"/>
  <c r="F18" i="16"/>
  <c r="F23" i="16"/>
  <c r="F17" i="16"/>
  <c r="D80" i="6"/>
  <c r="E7" i="17"/>
  <c r="E12" i="16"/>
  <c r="D6" i="16"/>
  <c r="D6" i="17"/>
  <c r="D8" i="17"/>
  <c r="E6" i="17"/>
  <c r="E6" i="16"/>
  <c r="E23" i="16"/>
  <c r="D7" i="17"/>
  <c r="E66" i="6" l="1"/>
  <c r="D65" i="6"/>
  <c r="D66" i="6" s="1"/>
  <c r="D94" i="6"/>
  <c r="E93" i="6" s="1"/>
  <c r="E94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Jan-Bert de Lepper</author>
  </authors>
  <commentList>
    <comment ref="F2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Deze gegevens pas je aan in het tabblad "Basisinstellingen". Vul daar de gegevens van je onderneming in.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Jan-Bert de Lepper</author>
  </authors>
  <commentList>
    <comment ref="C12" authorId="0" shapeId="0" xr:uid="{00000000-0006-0000-0400-000001000000}">
      <text>
        <r>
          <rPr>
            <sz val="9"/>
            <color indexed="81"/>
            <rFont val="Tahoma"/>
            <family val="2"/>
          </rPr>
          <t xml:space="preserve">De post Debiteuren wordt automatisch gevuld wanneer er een mutatie in 'Verkoop &amp; Opbrengsten' staat met een datum van vorig boekjaar.
</t>
        </r>
      </text>
    </comment>
    <comment ref="C20" authorId="0" shapeId="0" xr:uid="{00000000-0006-0000-0400-000002000000}">
      <text>
        <r>
          <rPr>
            <sz val="9"/>
            <color indexed="81"/>
            <rFont val="Tahoma"/>
            <family val="2"/>
          </rPr>
          <t xml:space="preserve">De post Crediteuren wordt automatisch gevuld wanneer er een mutatie in 'Inkoop en Uitgaven' staat met een datum van vorig boekjaar.
</t>
        </r>
      </text>
    </comment>
  </commentList>
</comments>
</file>

<file path=xl/sharedStrings.xml><?xml version="1.0" encoding="utf-8"?>
<sst xmlns="http://schemas.openxmlformats.org/spreadsheetml/2006/main" count="703" uniqueCount="282">
  <si>
    <t>Factuurnummer:</t>
  </si>
  <si>
    <t>Datum:</t>
  </si>
  <si>
    <t>BTW:</t>
  </si>
  <si>
    <t>Status:</t>
  </si>
  <si>
    <t>Verkoop</t>
  </si>
  <si>
    <t>Postcode:</t>
  </si>
  <si>
    <t>Plaats:</t>
  </si>
  <si>
    <t>Adres / Postbus:</t>
  </si>
  <si>
    <t>Inkoop</t>
  </si>
  <si>
    <t>Telefoon:</t>
  </si>
  <si>
    <t>Totaal:</t>
  </si>
  <si>
    <t>Betaald:</t>
  </si>
  <si>
    <t>Openstaand:</t>
  </si>
  <si>
    <t>Financieel overzicht</t>
  </si>
  <si>
    <t>Grootboek:</t>
  </si>
  <si>
    <t>Omschrijving:</t>
  </si>
  <si>
    <t>Openstaand</t>
  </si>
  <si>
    <t xml:space="preserve"> </t>
  </si>
  <si>
    <t>E-mail:</t>
  </si>
  <si>
    <t>Categorie:</t>
  </si>
  <si>
    <t xml:space="preserve">Inventarissen </t>
  </si>
  <si>
    <t xml:space="preserve">Balans </t>
  </si>
  <si>
    <t xml:space="preserve">Hardware </t>
  </si>
  <si>
    <t xml:space="preserve">Langlopende leningen </t>
  </si>
  <si>
    <t xml:space="preserve">Kas </t>
  </si>
  <si>
    <t xml:space="preserve">Betalingsmiddelen </t>
  </si>
  <si>
    <t xml:space="preserve">Bank </t>
  </si>
  <si>
    <t xml:space="preserve">Debiteuren </t>
  </si>
  <si>
    <t xml:space="preserve">Beginkapitaal </t>
  </si>
  <si>
    <t xml:space="preserve">Privé-opnamen en stortingen </t>
  </si>
  <si>
    <t xml:space="preserve">Vorderingen (kortlopend) </t>
  </si>
  <si>
    <t xml:space="preserve">Voorbelasting </t>
  </si>
  <si>
    <t xml:space="preserve">BTW Af te dragen Hoog </t>
  </si>
  <si>
    <t xml:space="preserve">BTW af te dragen Hoog </t>
  </si>
  <si>
    <t xml:space="preserve">BTW af te dragen Laag </t>
  </si>
  <si>
    <t xml:space="preserve">BTW R/C </t>
  </si>
  <si>
    <t xml:space="preserve">Crediteuren </t>
  </si>
  <si>
    <t xml:space="preserve">Schulden (kortlopend) </t>
  </si>
  <si>
    <t xml:space="preserve">Kruisposten </t>
  </si>
  <si>
    <t xml:space="preserve">Winst en Verlies </t>
  </si>
  <si>
    <t xml:space="preserve">Contributies en abonnementen </t>
  </si>
  <si>
    <t xml:space="preserve">Reclame en advertenties </t>
  </si>
  <si>
    <t xml:space="preserve">Representatie en verteer </t>
  </si>
  <si>
    <t xml:space="preserve">Reis- en verblijfkosten </t>
  </si>
  <si>
    <t xml:space="preserve">Relatiegeschenken </t>
  </si>
  <si>
    <t xml:space="preserve">Verzekeringen </t>
  </si>
  <si>
    <t xml:space="preserve">Bankkosten </t>
  </si>
  <si>
    <t xml:space="preserve">Overige verkoopkosten </t>
  </si>
  <si>
    <t xml:space="preserve">Kilometervergoeding </t>
  </si>
  <si>
    <t xml:space="preserve">Kantoorbenodigdheden </t>
  </si>
  <si>
    <t xml:space="preserve">Drukwerk, porti en vrachten </t>
  </si>
  <si>
    <t xml:space="preserve">Overige kantoorkosten </t>
  </si>
  <si>
    <t xml:space="preserve">Accountants- en administratiekosten </t>
  </si>
  <si>
    <t xml:space="preserve">Cursussen/seminars </t>
  </si>
  <si>
    <t xml:space="preserve">Vakliteratuur </t>
  </si>
  <si>
    <t xml:space="preserve">Betalingsverschillen </t>
  </si>
  <si>
    <t xml:space="preserve">Oninbare vorderingen </t>
  </si>
  <si>
    <t xml:space="preserve">Inkopen </t>
  </si>
  <si>
    <t xml:space="preserve">Omzet NL </t>
  </si>
  <si>
    <t xml:space="preserve">Omzet EU </t>
  </si>
  <si>
    <t>controle verschil</t>
  </si>
  <si>
    <t>Code</t>
  </si>
  <si>
    <t>Omschrijving</t>
  </si>
  <si>
    <t>Saldo</t>
  </si>
  <si>
    <t>Facturen verkoop</t>
  </si>
  <si>
    <t>Facturen inkoop</t>
  </si>
  <si>
    <t>Periode</t>
  </si>
  <si>
    <t>Kwartaal 1</t>
  </si>
  <si>
    <t>Kwartaal 2</t>
  </si>
  <si>
    <t>Kwartaal 3</t>
  </si>
  <si>
    <t>Kwartaal 4</t>
  </si>
  <si>
    <t>Betaalstatus:</t>
  </si>
  <si>
    <t>Btw</t>
  </si>
  <si>
    <t>Onderneming</t>
  </si>
  <si>
    <t>Contactpersoon</t>
  </si>
  <si>
    <t>Adres</t>
  </si>
  <si>
    <t>Postcode</t>
  </si>
  <si>
    <t>Plaats</t>
  </si>
  <si>
    <t>Telefoon</t>
  </si>
  <si>
    <t>E-mailadres</t>
  </si>
  <si>
    <t>Website</t>
  </si>
  <si>
    <t>OB-nummer</t>
  </si>
  <si>
    <t>Jaartal</t>
  </si>
  <si>
    <t>Relaties</t>
  </si>
  <si>
    <t>Btw-overzicht</t>
  </si>
  <si>
    <t>Balans</t>
  </si>
  <si>
    <t>Relatienaam:</t>
  </si>
  <si>
    <t>Nr:</t>
  </si>
  <si>
    <t>Telefoon en internet</t>
  </si>
  <si>
    <t>Totaal</t>
  </si>
  <si>
    <t/>
  </si>
  <si>
    <t>Soort:</t>
  </si>
  <si>
    <t>Factuur</t>
  </si>
  <si>
    <t>Bonnetje</t>
  </si>
  <si>
    <t>Overig</t>
  </si>
  <si>
    <t>Betaald via Bank</t>
  </si>
  <si>
    <t>Betaald via Kas</t>
  </si>
  <si>
    <t>Verkoop &amp; Opbrengsten</t>
  </si>
  <si>
    <t>Btw %</t>
  </si>
  <si>
    <t>Bedrag excl. btw:</t>
  </si>
  <si>
    <t>Btw:</t>
  </si>
  <si>
    <t>Btw-tarief:</t>
  </si>
  <si>
    <t>TOTAAL</t>
  </si>
  <si>
    <t>Factuuradres:</t>
  </si>
  <si>
    <t>Aantal</t>
  </si>
  <si>
    <t>Beschrijving</t>
  </si>
  <si>
    <t>Stuksprijs</t>
  </si>
  <si>
    <t>Subtotaal</t>
  </si>
  <si>
    <t>Inkoop &amp; Uitgaven</t>
  </si>
  <si>
    <t>Categorieën (Grootboek)</t>
  </si>
  <si>
    <t>Beginbalans</t>
  </si>
  <si>
    <t>Geen btw</t>
  </si>
  <si>
    <t>Winst en Verlies</t>
  </si>
  <si>
    <t>Winst</t>
  </si>
  <si>
    <t>Verlies</t>
  </si>
  <si>
    <t>Saldo winst</t>
  </si>
  <si>
    <t>Btw-aangifte per</t>
  </si>
  <si>
    <t>Leveringen/diensten 0% btw</t>
  </si>
  <si>
    <t>Leveringen/diensten 21%</t>
  </si>
  <si>
    <t>April</t>
  </si>
  <si>
    <t>Mei</t>
  </si>
  <si>
    <t>Maart</t>
  </si>
  <si>
    <t>Februari</t>
  </si>
  <si>
    <t>Januari</t>
  </si>
  <si>
    <t>Juni</t>
  </si>
  <si>
    <t>Juli</t>
  </si>
  <si>
    <t>Augustus</t>
  </si>
  <si>
    <t>September</t>
  </si>
  <si>
    <t>Oktober</t>
  </si>
  <si>
    <t>November</t>
  </si>
  <si>
    <t>December</t>
  </si>
  <si>
    <t>8010</t>
  </si>
  <si>
    <t>0130</t>
  </si>
  <si>
    <t>0140</t>
  </si>
  <si>
    <t>0740</t>
  </si>
  <si>
    <t>1000</t>
  </si>
  <si>
    <t>1010</t>
  </si>
  <si>
    <t>1300</t>
  </si>
  <si>
    <t>1400</t>
  </si>
  <si>
    <t>1500</t>
  </si>
  <si>
    <t>1630</t>
  </si>
  <si>
    <t>1700</t>
  </si>
  <si>
    <t>2000</t>
  </si>
  <si>
    <t>4510</t>
  </si>
  <si>
    <t>4530</t>
  </si>
  <si>
    <t>4545</t>
  </si>
  <si>
    <t>4590</t>
  </si>
  <si>
    <t>4700</t>
  </si>
  <si>
    <t>4750</t>
  </si>
  <si>
    <t>4810</t>
  </si>
  <si>
    <t>4860</t>
  </si>
  <si>
    <t>4950</t>
  </si>
  <si>
    <t>8000</t>
  </si>
  <si>
    <t>1410</t>
  </si>
  <si>
    <t>1600</t>
  </si>
  <si>
    <t>1631</t>
  </si>
  <si>
    <t>1650</t>
  </si>
  <si>
    <t>1800</t>
  </si>
  <si>
    <t>4500</t>
  </si>
  <si>
    <t>4520</t>
  </si>
  <si>
    <t>4540</t>
  </si>
  <si>
    <t>4550</t>
  </si>
  <si>
    <t>4600</t>
  </si>
  <si>
    <t>4740</t>
  </si>
  <si>
    <t>4790</t>
  </si>
  <si>
    <t>4850</t>
  </si>
  <si>
    <t>4900</t>
  </si>
  <si>
    <t>7000</t>
  </si>
  <si>
    <t>Exporteer naar e-Boekhouden.nl</t>
  </si>
  <si>
    <t>Gebruikersnaam:</t>
  </si>
  <si>
    <t>Beveiligingscode 1:</t>
  </si>
  <si>
    <t>Beveiligingscode 2:</t>
  </si>
  <si>
    <t>Btw hoog</t>
  </si>
  <si>
    <t>Btw laag</t>
  </si>
  <si>
    <t>Relatie:</t>
  </si>
  <si>
    <t>IBAN</t>
  </si>
  <si>
    <t>KvK</t>
  </si>
  <si>
    <t>Btw betaald/ontvangen</t>
  </si>
  <si>
    <t>--KOSTEN--</t>
  </si>
  <si>
    <t>--OPBRENGSTEN--</t>
  </si>
  <si>
    <t>Hulp nodig? Bekijk hier onze hulp bij exporteren!</t>
  </si>
  <si>
    <t>--OVERIG--</t>
  </si>
  <si>
    <t>Activa</t>
  </si>
  <si>
    <t>Passiva</t>
  </si>
  <si>
    <t xml:space="preserve">Totaal </t>
  </si>
  <si>
    <t>Klanten en Leveranciers</t>
  </si>
  <si>
    <t>Basisinstellingen</t>
  </si>
  <si>
    <t>En alle gegevens voor je Excel-boekhouding!</t>
  </si>
  <si>
    <t>Leveringen/diensten 9%</t>
  </si>
  <si>
    <t>TestEsther142</t>
  </si>
  <si>
    <t>Kwartaal</t>
  </si>
  <si>
    <t>De Natuurwaarnemer</t>
  </si>
  <si>
    <t>Ruud Hogenberg</t>
  </si>
  <si>
    <t>De Trippen 64</t>
  </si>
  <si>
    <t>7831 BS</t>
  </si>
  <si>
    <t>Nieuw Weerdinge</t>
  </si>
  <si>
    <t>0613779998</t>
  </si>
  <si>
    <t>info@natuurwaarnemer.nl</t>
  </si>
  <si>
    <t>www.natuurwaarnemer.nl</t>
  </si>
  <si>
    <t>NL001402083B56</t>
  </si>
  <si>
    <t>NL46 KNAB 0776 3468 22</t>
  </si>
  <si>
    <t>Quickreclame</t>
  </si>
  <si>
    <t>Curiestraat 1</t>
  </si>
  <si>
    <t xml:space="preserve">7825 GC </t>
  </si>
  <si>
    <t>Emmen</t>
  </si>
  <si>
    <t>085 0657470</t>
  </si>
  <si>
    <t>info@quickreclame.nl</t>
  </si>
  <si>
    <t>Het 3d scannen/tekenen van 2 voorwerpen tbv</t>
  </si>
  <si>
    <t xml:space="preserve">8000 Omzet NL </t>
  </si>
  <si>
    <t>DNW-25101</t>
  </si>
  <si>
    <t>DNW-25102</t>
  </si>
  <si>
    <t xml:space="preserve">tbv project Topspin Powertools </t>
  </si>
  <si>
    <t>2025-278940</t>
  </si>
  <si>
    <t>Website pakket</t>
  </si>
  <si>
    <t>Jouwweb</t>
  </si>
  <si>
    <t>Torenallee 20-65</t>
  </si>
  <si>
    <t xml:space="preserve">5617 BC </t>
  </si>
  <si>
    <t>Eindhoven</t>
  </si>
  <si>
    <t>info@jouwweb.nl</t>
  </si>
  <si>
    <t>Jip BV</t>
  </si>
  <si>
    <t>Eigennummer.nl</t>
  </si>
  <si>
    <t>GS1</t>
  </si>
  <si>
    <t>UPS</t>
  </si>
  <si>
    <t>123inkt.nl</t>
  </si>
  <si>
    <t>Postnl</t>
  </si>
  <si>
    <t xml:space="preserve">4790 Overige kantoorkosten </t>
  </si>
  <si>
    <t>Verpakkingmateriaal</t>
  </si>
  <si>
    <t xml:space="preserve">4700 Kantoorbenodigdheden </t>
  </si>
  <si>
    <t xml:space="preserve">4740 Drukwerk, porti en vrachten </t>
  </si>
  <si>
    <t>43-164191</t>
  </si>
  <si>
    <t>Telefoonkosten</t>
  </si>
  <si>
    <t>4750 Telefoon en internet</t>
  </si>
  <si>
    <t>VF92329025</t>
  </si>
  <si>
    <t>GS1 codepakket EAN</t>
  </si>
  <si>
    <t>ups 202500095902</t>
  </si>
  <si>
    <t>invoerkosten</t>
  </si>
  <si>
    <t>dymo label printer</t>
  </si>
  <si>
    <t>laser printer en papier</t>
  </si>
  <si>
    <t>43-166531</t>
  </si>
  <si>
    <t>1114-25279607</t>
  </si>
  <si>
    <t>pakket kosten</t>
  </si>
  <si>
    <t>VF92329848</t>
  </si>
  <si>
    <t>3D Printer</t>
  </si>
  <si>
    <t>123-3d</t>
  </si>
  <si>
    <t>Koningsbeltweg 52</t>
  </si>
  <si>
    <t>1329 AK</t>
  </si>
  <si>
    <t>Almelo</t>
  </si>
  <si>
    <t>0294-787127</t>
  </si>
  <si>
    <t>info@123-3D.nl</t>
  </si>
  <si>
    <t xml:space="preserve">Poly filament </t>
  </si>
  <si>
    <t>bewerkingsset</t>
  </si>
  <si>
    <t xml:space="preserve">Cloud86 </t>
  </si>
  <si>
    <t>Lavendelheide 21-108</t>
  </si>
  <si>
    <t>9202PD</t>
  </si>
  <si>
    <t>Drachten</t>
  </si>
  <si>
    <t>info@cloud86.io</t>
  </si>
  <si>
    <t>Woocommerce website</t>
  </si>
  <si>
    <t>Domein registratie</t>
  </si>
  <si>
    <t>43-168877</t>
  </si>
  <si>
    <t>43-171206</t>
  </si>
  <si>
    <t>43-173534</t>
  </si>
  <si>
    <t>1106-252818599</t>
  </si>
  <si>
    <t>pakket kosten BUITENLAND</t>
  </si>
  <si>
    <t>43-175850</t>
  </si>
  <si>
    <t>Webshopklant</t>
  </si>
  <si>
    <t xml:space="preserve">ITALIE Hand stabilizer </t>
  </si>
  <si>
    <t xml:space="preserve">8010 Omzet EU </t>
  </si>
  <si>
    <t xml:space="preserve">NL Hand stablizer </t>
  </si>
  <si>
    <t>DNW-25103</t>
  </si>
  <si>
    <t>KWARTAAL 3 OPGAVE</t>
  </si>
  <si>
    <t xml:space="preserve">Telelens hand stabilizer </t>
  </si>
  <si>
    <t>1114-256748982</t>
  </si>
  <si>
    <t xml:space="preserve">pakket kosten  </t>
  </si>
  <si>
    <t>43-178154</t>
  </si>
  <si>
    <t>43-180144</t>
  </si>
  <si>
    <t>DNW-25104</t>
  </si>
  <si>
    <t>TBV Koffer project Baas en Co</t>
  </si>
  <si>
    <t>3d geprinte scharnieren</t>
  </si>
  <si>
    <t xml:space="preserve">3d geprinte onderringen </t>
  </si>
  <si>
    <t>cf het aangeleverd 3d bestand</t>
  </si>
  <si>
    <t xml:space="preserve">3d geprinte scharnieren3d geprinte onderringen </t>
  </si>
  <si>
    <t>1114-25868145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</si>
</sst>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 &quot;€&quot;\ * #,##0.00_ ;_ &quot;€&quot;\ * \-#,##0.00_ ;_ &quot;€&quot;\ * &quot;-&quot;??_ ;_ @_ "/>
    <numFmt numFmtId="164" formatCode="_(&quot;€&quot;* #,##0.00_);_(&quot;€&quot;* \(#,##0.00\);_(&quot;€&quot;* &quot;-&quot;??_);_(@_)"/>
    <numFmt numFmtId="165" formatCode="_ [$€-413]\ * #,##0.00_ ;_ [$€-413]\ * \-#,##0.00_ ;_ [$€-413]\ * &quot;-&quot;??_ ;_ @_ "/>
    <numFmt numFmtId="166" formatCode="&quot;€&quot;\ #,##0.00"/>
    <numFmt numFmtId="167" formatCode="_-[$€-413]\ * #,##0.00_-;_-[$€-413]\ * #,##0.00\-;_-[$€-413]\ * &quot;-&quot;??_-;_-@_-"/>
    <numFmt numFmtId="168" formatCode="@\ \ "/>
  </numFmts>
  <fonts count="34" x14ac:knownFonts="1">
    <font>
      <sz val="10"/>
      <color theme="1"/>
      <name val="Calibri"/>
      <family val="2"/>
      <scheme val="minor"/>
    </font>
    <font>
      <u/>
      <sz val="10"/>
      <color theme="10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0"/>
      <color indexed="64"/>
      <name val="Arial"/>
      <family val="2"/>
    </font>
    <font>
      <sz val="10"/>
      <color indexed="64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2"/>
      <color rgb="FF000000"/>
      <name val="Calibri"/>
      <family val="2"/>
      <scheme val="minor"/>
    </font>
    <font>
      <b/>
      <sz val="18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0"/>
      <color theme="1"/>
      <name val="Arial"/>
      <family val="2"/>
    </font>
    <font>
      <b/>
      <sz val="28"/>
      <color theme="3" tint="0.59999389629810485"/>
      <name val="Arial"/>
      <family val="2"/>
    </font>
    <font>
      <sz val="9"/>
      <color rgb="FF333333"/>
      <name val="Arial"/>
      <family val="2"/>
    </font>
    <font>
      <sz val="10"/>
      <color rgb="FF0070C0"/>
      <name val="Calibri"/>
      <family val="2"/>
      <scheme val="minor"/>
    </font>
    <font>
      <i/>
      <sz val="10"/>
      <name val="Calibri"/>
      <family val="2"/>
      <scheme val="minor"/>
    </font>
    <font>
      <sz val="9"/>
      <color indexed="81"/>
      <name val="Tahoma"/>
      <family val="2"/>
    </font>
    <font>
      <sz val="10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1"/>
      <name val="Arial"/>
      <family val="2"/>
    </font>
    <font>
      <u val="singleAccounting"/>
      <sz val="10"/>
      <name val="Calibri"/>
      <family val="2"/>
      <scheme val="minor"/>
    </font>
    <font>
      <sz val="8"/>
      <name val="Calibri"/>
      <family val="2"/>
      <scheme val="minor"/>
    </font>
    <font>
      <sz val="10"/>
      <color rgb="FF4B4B4B"/>
      <name val="Lucida Sans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164" fontId="3" fillId="0" borderId="0" applyFont="0" applyFill="0" applyBorder="0" applyAlignment="0" applyProtection="0"/>
    <xf numFmtId="0" fontId="4" fillId="0" borderId="0"/>
    <xf numFmtId="0" fontId="6" fillId="0" borderId="0"/>
    <xf numFmtId="9" fontId="3" fillId="0" borderId="0" applyFont="0" applyFill="0" applyBorder="0" applyAlignment="0" applyProtection="0"/>
  </cellStyleXfs>
  <cellXfs count="223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0" fillId="0" borderId="0" xfId="0" applyNumberFormat="1"/>
    <xf numFmtId="0" fontId="1" fillId="0" borderId="0" xfId="1" applyAlignment="1" applyProtection="1"/>
    <xf numFmtId="0" fontId="2" fillId="0" borderId="0" xfId="0" applyFont="1"/>
    <xf numFmtId="165" fontId="0" fillId="0" borderId="0" xfId="0" applyNumberFormat="1"/>
    <xf numFmtId="164" fontId="0" fillId="0" borderId="0" xfId="0" applyNumberFormat="1" applyAlignment="1">
      <alignment horizontal="left"/>
    </xf>
    <xf numFmtId="49" fontId="0" fillId="0" borderId="0" xfId="0" applyNumberFormat="1"/>
    <xf numFmtId="164" fontId="0" fillId="0" borderId="0" xfId="2" applyFont="1"/>
    <xf numFmtId="16" fontId="0" fillId="0" borderId="0" xfId="0" applyNumberFormat="1"/>
    <xf numFmtId="49" fontId="0" fillId="0" borderId="0" xfId="0" applyNumberFormat="1" applyAlignment="1">
      <alignment horizontal="left"/>
    </xf>
    <xf numFmtId="0" fontId="9" fillId="2" borderId="0" xfId="0" applyFont="1" applyFill="1"/>
    <xf numFmtId="166" fontId="0" fillId="0" borderId="0" xfId="0" applyNumberFormat="1"/>
    <xf numFmtId="0" fontId="0" fillId="2" borderId="0" xfId="0" applyFill="1"/>
    <xf numFmtId="0" fontId="11" fillId="2" borderId="0" xfId="0" applyFont="1" applyFill="1"/>
    <xf numFmtId="0" fontId="12" fillId="0" borderId="0" xfId="0" applyFont="1"/>
    <xf numFmtId="0" fontId="13" fillId="0" borderId="0" xfId="0" applyFont="1" applyAlignment="1">
      <alignment horizontal="left"/>
    </xf>
    <xf numFmtId="0" fontId="0" fillId="2" borderId="0" xfId="0" applyFill="1" applyAlignment="1">
      <alignment horizontal="left"/>
    </xf>
    <xf numFmtId="0" fontId="14" fillId="2" borderId="0" xfId="0" applyFont="1" applyFill="1" applyAlignment="1">
      <alignment horizontal="left"/>
    </xf>
    <xf numFmtId="0" fontId="14" fillId="2" borderId="0" xfId="0" applyFont="1" applyFill="1"/>
    <xf numFmtId="14" fontId="0" fillId="2" borderId="0" xfId="0" applyNumberFormat="1" applyFill="1" applyAlignment="1">
      <alignment horizontal="left"/>
    </xf>
    <xf numFmtId="164" fontId="0" fillId="2" borderId="0" xfId="0" applyNumberFormat="1" applyFill="1"/>
    <xf numFmtId="164" fontId="0" fillId="2" borderId="0" xfId="2" applyFont="1" applyFill="1"/>
    <xf numFmtId="0" fontId="9" fillId="2" borderId="0" xfId="0" applyFont="1" applyFill="1" applyAlignment="1">
      <alignment horizontal="left"/>
    </xf>
    <xf numFmtId="164" fontId="9" fillId="2" borderId="0" xfId="0" applyNumberFormat="1" applyFont="1" applyFill="1"/>
    <xf numFmtId="14" fontId="9" fillId="2" borderId="0" xfId="0" applyNumberFormat="1" applyFont="1" applyFill="1" applyAlignment="1">
      <alignment horizontal="left"/>
    </xf>
    <xf numFmtId="166" fontId="9" fillId="2" borderId="0" xfId="0" applyNumberFormat="1" applyFont="1" applyFill="1"/>
    <xf numFmtId="0" fontId="2" fillId="0" borderId="1" xfId="0" applyFont="1" applyBorder="1" applyAlignment="1">
      <alignment horizontal="left"/>
    </xf>
    <xf numFmtId="0" fontId="5" fillId="2" borderId="0" xfId="0" applyFont="1" applyFill="1"/>
    <xf numFmtId="164" fontId="0" fillId="2" borderId="0" xfId="0" applyNumberFormat="1" applyFill="1" applyAlignment="1">
      <alignment horizontal="left"/>
    </xf>
    <xf numFmtId="164" fontId="9" fillId="2" borderId="0" xfId="0" applyNumberFormat="1" applyFont="1" applyFill="1" applyAlignment="1">
      <alignment horizontal="left"/>
    </xf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left"/>
    </xf>
    <xf numFmtId="49" fontId="7" fillId="0" borderId="1" xfId="4" applyNumberFormat="1" applyFont="1" applyBorder="1"/>
    <xf numFmtId="0" fontId="9" fillId="2" borderId="0" xfId="0" applyFont="1" applyFill="1" applyAlignment="1">
      <alignment horizontal="right"/>
    </xf>
    <xf numFmtId="0" fontId="12" fillId="0" borderId="2" xfId="0" applyFont="1" applyBorder="1"/>
    <xf numFmtId="49" fontId="7" fillId="0" borderId="0" xfId="4" applyNumberFormat="1" applyFont="1"/>
    <xf numFmtId="0" fontId="0" fillId="0" borderId="0" xfId="0" quotePrefix="1"/>
    <xf numFmtId="9" fontId="0" fillId="0" borderId="0" xfId="0" applyNumberFormat="1"/>
    <xf numFmtId="0" fontId="4" fillId="0" borderId="0" xfId="0" applyFont="1" applyProtection="1">
      <protection locked="0"/>
    </xf>
    <xf numFmtId="0" fontId="24" fillId="0" borderId="0" xfId="0" applyFont="1" applyAlignment="1">
      <alignment horizontal="left" vertical="center" readingOrder="1"/>
    </xf>
    <xf numFmtId="0" fontId="22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19" fillId="0" borderId="0" xfId="0" applyFont="1" applyAlignment="1" applyProtection="1">
      <alignment horizontal="left" indent="1"/>
      <protection locked="0"/>
    </xf>
    <xf numFmtId="0" fontId="19" fillId="0" borderId="0" xfId="0" applyFont="1" applyAlignment="1" applyProtection="1">
      <alignment horizontal="left" vertical="top" indent="1"/>
      <protection locked="0"/>
    </xf>
    <xf numFmtId="0" fontId="20" fillId="2" borderId="4" xfId="0" applyFont="1" applyFill="1" applyBorder="1" applyAlignment="1" applyProtection="1">
      <alignment horizontal="center" vertical="center"/>
      <protection locked="0"/>
    </xf>
    <xf numFmtId="0" fontId="20" fillId="2" borderId="5" xfId="0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22" fillId="0" borderId="0" xfId="0" applyFont="1" applyAlignment="1">
      <alignment horizontal="right"/>
    </xf>
    <xf numFmtId="4" fontId="22" fillId="0" borderId="7" xfId="0" applyNumberFormat="1" applyFont="1" applyBorder="1" applyAlignment="1" applyProtection="1">
      <alignment horizontal="left" vertical="center" indent="1"/>
      <protection locked="0"/>
    </xf>
    <xf numFmtId="4" fontId="22" fillId="0" borderId="10" xfId="0" applyNumberFormat="1" applyFont="1" applyBorder="1" applyAlignment="1" applyProtection="1">
      <alignment horizontal="left" vertical="center" indent="1"/>
      <protection locked="0"/>
    </xf>
    <xf numFmtId="4" fontId="22" fillId="0" borderId="12" xfId="0" applyNumberFormat="1" applyFont="1" applyBorder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vertical="center"/>
      <protection locked="0"/>
    </xf>
    <xf numFmtId="0" fontId="25" fillId="2" borderId="0" xfId="0" applyFont="1" applyFill="1" applyAlignment="1">
      <alignment horizontal="left"/>
    </xf>
    <xf numFmtId="0" fontId="25" fillId="2" borderId="0" xfId="0" quotePrefix="1" applyFont="1" applyFill="1"/>
    <xf numFmtId="0" fontId="25" fillId="2" borderId="0" xfId="0" applyFont="1" applyFill="1"/>
    <xf numFmtId="164" fontId="9" fillId="2" borderId="0" xfId="2" applyFont="1" applyFill="1"/>
    <xf numFmtId="0" fontId="5" fillId="0" borderId="0" xfId="0" applyFont="1"/>
    <xf numFmtId="0" fontId="8" fillId="0" borderId="0" xfId="0" applyFont="1"/>
    <xf numFmtId="0" fontId="8" fillId="0" borderId="0" xfId="0" applyFont="1" applyAlignment="1">
      <alignment horizontal="left"/>
    </xf>
    <xf numFmtId="166" fontId="8" fillId="0" borderId="0" xfId="2" applyNumberFormat="1" applyFont="1" applyFill="1" applyBorder="1" applyAlignment="1" applyProtection="1">
      <alignment horizontal="right"/>
    </xf>
    <xf numFmtId="49" fontId="5" fillId="0" borderId="0" xfId="0" applyNumberFormat="1" applyFont="1"/>
    <xf numFmtId="49" fontId="5" fillId="0" borderId="0" xfId="0" applyNumberFormat="1" applyFont="1" applyAlignment="1">
      <alignment horizontal="left"/>
    </xf>
    <xf numFmtId="164" fontId="0" fillId="0" borderId="0" xfId="2" applyFont="1" applyFill="1" applyBorder="1" applyProtection="1"/>
    <xf numFmtId="0" fontId="22" fillId="0" borderId="0" xfId="0" applyFont="1" applyAlignment="1" applyProtection="1">
      <alignment horizontal="left"/>
      <protection locked="0"/>
    </xf>
    <xf numFmtId="14" fontId="22" fillId="0" borderId="0" xfId="0" applyNumberFormat="1" applyFont="1" applyAlignment="1" applyProtection="1">
      <alignment horizontal="left"/>
      <protection locked="0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vertical="center"/>
    </xf>
    <xf numFmtId="168" fontId="22" fillId="0" borderId="0" xfId="0" applyNumberFormat="1" applyFont="1" applyAlignment="1">
      <alignment horizontal="right" vertical="center"/>
    </xf>
    <xf numFmtId="168" fontId="19" fillId="0" borderId="0" xfId="0" applyNumberFormat="1" applyFont="1" applyAlignment="1">
      <alignment horizontal="right" vertical="center"/>
    </xf>
    <xf numFmtId="14" fontId="0" fillId="0" borderId="1" xfId="0" applyNumberForma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Protection="1">
      <protection locked="0"/>
    </xf>
    <xf numFmtId="1" fontId="0" fillId="0" borderId="1" xfId="0" applyNumberFormat="1" applyBorder="1" applyProtection="1">
      <protection locked="0"/>
    </xf>
    <xf numFmtId="0" fontId="0" fillId="0" borderId="1" xfId="0" applyBorder="1"/>
    <xf numFmtId="0" fontId="0" fillId="0" borderId="13" xfId="0" applyBorder="1"/>
    <xf numFmtId="0" fontId="10" fillId="0" borderId="0" xfId="0" applyFont="1"/>
    <xf numFmtId="0" fontId="10" fillId="2" borderId="1" xfId="0" applyFont="1" applyFill="1" applyBorder="1"/>
    <xf numFmtId="0" fontId="0" fillId="0" borderId="14" xfId="0" applyBorder="1"/>
    <xf numFmtId="0" fontId="16" fillId="0" borderId="0" xfId="0" applyFont="1" applyAlignment="1">
      <alignment horizontal="left"/>
    </xf>
    <xf numFmtId="9" fontId="13" fillId="0" borderId="0" xfId="5" applyFont="1" applyBorder="1" applyAlignment="1">
      <alignment horizontal="left"/>
    </xf>
    <xf numFmtId="0" fontId="2" fillId="0" borderId="0" xfId="0" applyFont="1" applyAlignment="1">
      <alignment horizontal="left" indent="2"/>
    </xf>
    <xf numFmtId="0" fontId="2" fillId="0" borderId="1" xfId="0" applyFont="1" applyBorder="1" applyAlignment="1" applyProtection="1">
      <alignment horizontal="left"/>
      <protection locked="0"/>
    </xf>
    <xf numFmtId="0" fontId="16" fillId="0" borderId="1" xfId="0" applyFont="1" applyBorder="1" applyAlignment="1" applyProtection="1">
      <alignment horizontal="left"/>
      <protection locked="0"/>
    </xf>
    <xf numFmtId="0" fontId="15" fillId="0" borderId="1" xfId="0" applyFont="1" applyBorder="1" applyAlignment="1" applyProtection="1">
      <alignment horizontal="left"/>
      <protection locked="0"/>
    </xf>
    <xf numFmtId="0" fontId="15" fillId="0" borderId="3" xfId="0" applyFont="1" applyBorder="1" applyAlignment="1" applyProtection="1">
      <alignment horizontal="left"/>
      <protection locked="0"/>
    </xf>
    <xf numFmtId="1" fontId="2" fillId="0" borderId="1" xfId="0" applyNumberFormat="1" applyFont="1" applyBorder="1" applyProtection="1">
      <protection locked="0"/>
    </xf>
    <xf numFmtId="1" fontId="0" fillId="0" borderId="0" xfId="0" applyNumberFormat="1" applyProtection="1">
      <protection locked="0"/>
    </xf>
    <xf numFmtId="49" fontId="0" fillId="0" borderId="1" xfId="0" applyNumberFormat="1" applyBorder="1" applyAlignment="1" applyProtection="1">
      <alignment horizontal="left"/>
      <protection locked="0"/>
    </xf>
    <xf numFmtId="49" fontId="0" fillId="0" borderId="1" xfId="0" applyNumberFormat="1" applyBorder="1" applyProtection="1">
      <protection locked="0"/>
    </xf>
    <xf numFmtId="49" fontId="15" fillId="0" borderId="1" xfId="0" applyNumberFormat="1" applyFont="1" applyBorder="1" applyAlignment="1" applyProtection="1">
      <alignment horizontal="left"/>
      <protection locked="0"/>
    </xf>
    <xf numFmtId="49" fontId="16" fillId="0" borderId="1" xfId="0" applyNumberFormat="1" applyFont="1" applyBorder="1" applyAlignment="1" applyProtection="1">
      <alignment horizontal="left"/>
      <protection locked="0"/>
    </xf>
    <xf numFmtId="0" fontId="2" fillId="0" borderId="0" xfId="0" quotePrefix="1" applyFont="1"/>
    <xf numFmtId="0" fontId="9" fillId="0" borderId="0" xfId="0" applyFont="1" applyAlignment="1">
      <alignment horizontal="right"/>
    </xf>
    <xf numFmtId="164" fontId="9" fillId="0" borderId="0" xfId="0" applyNumberFormat="1" applyFont="1"/>
    <xf numFmtId="1" fontId="2" fillId="0" borderId="0" xfId="0" quotePrefix="1" applyNumberFormat="1" applyFont="1" applyProtection="1">
      <protection locked="0"/>
    </xf>
    <xf numFmtId="0" fontId="13" fillId="0" borderId="0" xfId="0" applyFont="1"/>
    <xf numFmtId="0" fontId="15" fillId="0" borderId="0" xfId="0" applyFont="1" applyAlignment="1">
      <alignment horizontal="left"/>
    </xf>
    <xf numFmtId="49" fontId="15" fillId="0" borderId="0" xfId="0" applyNumberFormat="1" applyFont="1" applyAlignment="1">
      <alignment horizontal="left"/>
    </xf>
    <xf numFmtId="49" fontId="16" fillId="0" borderId="0" xfId="0" applyNumberFormat="1" applyFont="1" applyAlignment="1">
      <alignment horizontal="left"/>
    </xf>
    <xf numFmtId="0" fontId="16" fillId="0" borderId="1" xfId="0" applyFont="1" applyBorder="1" applyAlignment="1">
      <alignment horizontal="left"/>
    </xf>
    <xf numFmtId="9" fontId="13" fillId="0" borderId="0" xfId="5" applyFont="1" applyBorder="1" applyAlignment="1" applyProtection="1">
      <alignment horizontal="left"/>
    </xf>
    <xf numFmtId="0" fontId="0" fillId="0" borderId="0" xfId="0" applyAlignment="1">
      <alignment horizontal="right"/>
    </xf>
    <xf numFmtId="0" fontId="20" fillId="2" borderId="8" xfId="0" applyFont="1" applyFill="1" applyBorder="1" applyAlignment="1" applyProtection="1">
      <alignment horizontal="center" vertical="center"/>
      <protection locked="0"/>
    </xf>
    <xf numFmtId="9" fontId="22" fillId="0" borderId="6" xfId="5" applyFont="1" applyBorder="1" applyAlignment="1" applyProtection="1">
      <alignment horizontal="right" vertical="center" indent="3"/>
      <protection locked="0"/>
    </xf>
    <xf numFmtId="9" fontId="22" fillId="0" borderId="9" xfId="5" applyFont="1" applyBorder="1" applyAlignment="1" applyProtection="1">
      <alignment horizontal="right" vertical="center" indent="3"/>
      <protection locked="0"/>
    </xf>
    <xf numFmtId="9" fontId="22" fillId="0" borderId="11" xfId="5" applyFont="1" applyBorder="1" applyAlignment="1" applyProtection="1">
      <alignment horizontal="right" vertical="center" indent="3"/>
      <protection locked="0"/>
    </xf>
    <xf numFmtId="1" fontId="28" fillId="0" borderId="0" xfId="0" quotePrefix="1" applyNumberFormat="1" applyFont="1" applyProtection="1">
      <protection locked="0"/>
    </xf>
    <xf numFmtId="0" fontId="2" fillId="0" borderId="0" xfId="0" applyFont="1" applyAlignment="1">
      <alignment horizontal="left"/>
    </xf>
    <xf numFmtId="0" fontId="25" fillId="0" borderId="0" xfId="0" applyFont="1"/>
    <xf numFmtId="1" fontId="28" fillId="0" borderId="0" xfId="0" applyNumberFormat="1" applyFont="1"/>
    <xf numFmtId="167" fontId="22" fillId="3" borderId="7" xfId="0" applyNumberFormat="1" applyFont="1" applyFill="1" applyBorder="1" applyAlignment="1">
      <alignment horizontal="left" vertical="center"/>
    </xf>
    <xf numFmtId="167" fontId="22" fillId="3" borderId="10" xfId="0" applyNumberFormat="1" applyFont="1" applyFill="1" applyBorder="1" applyAlignment="1">
      <alignment horizontal="left" vertical="center"/>
    </xf>
    <xf numFmtId="164" fontId="22" fillId="0" borderId="12" xfId="2" applyFont="1" applyBorder="1" applyAlignment="1" applyProtection="1">
      <alignment horizontal="left" vertical="center"/>
      <protection locked="0"/>
    </xf>
    <xf numFmtId="164" fontId="22" fillId="3" borderId="5" xfId="2" applyFont="1" applyFill="1" applyBorder="1" applyAlignment="1" applyProtection="1">
      <alignment horizontal="left" vertical="center"/>
    </xf>
    <xf numFmtId="164" fontId="22" fillId="3" borderId="12" xfId="2" applyFont="1" applyFill="1" applyBorder="1" applyAlignment="1" applyProtection="1">
      <alignment horizontal="left" vertical="center"/>
    </xf>
    <xf numFmtId="164" fontId="22" fillId="0" borderId="9" xfId="2" applyFont="1" applyBorder="1" applyAlignment="1" applyProtection="1">
      <alignment horizontal="left" vertical="center"/>
      <protection locked="0"/>
    </xf>
    <xf numFmtId="164" fontId="22" fillId="0" borderId="6" xfId="2" applyFont="1" applyBorder="1" applyAlignment="1" applyProtection="1">
      <alignment horizontal="left" vertical="center"/>
      <protection locked="0"/>
    </xf>
    <xf numFmtId="164" fontId="22" fillId="0" borderId="11" xfId="2" applyFont="1" applyBorder="1" applyAlignment="1" applyProtection="1">
      <alignment horizontal="left" vertical="center"/>
      <protection locked="0"/>
    </xf>
    <xf numFmtId="0" fontId="29" fillId="0" borderId="1" xfId="0" applyFont="1" applyBorder="1" applyAlignment="1" applyProtection="1">
      <alignment horizontal="left"/>
      <protection locked="0"/>
    </xf>
    <xf numFmtId="9" fontId="29" fillId="0" borderId="1" xfId="5" applyFont="1" applyBorder="1" applyAlignment="1" applyProtection="1">
      <alignment horizontal="right"/>
      <protection locked="0"/>
    </xf>
    <xf numFmtId="0" fontId="5" fillId="0" borderId="1" xfId="0" applyFont="1" applyBorder="1" applyAlignment="1" applyProtection="1">
      <alignment horizontal="left"/>
      <protection locked="0"/>
    </xf>
    <xf numFmtId="0" fontId="30" fillId="0" borderId="0" xfId="0" applyFont="1" applyProtection="1">
      <protection locked="0"/>
    </xf>
    <xf numFmtId="1" fontId="2" fillId="0" borderId="0" xfId="0" quotePrefix="1" applyNumberFormat="1" applyFont="1"/>
    <xf numFmtId="1" fontId="28" fillId="0" borderId="0" xfId="0" quotePrefix="1" applyNumberFormat="1" applyFont="1"/>
    <xf numFmtId="1" fontId="0" fillId="0" borderId="0" xfId="0" applyNumberFormat="1"/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9" xfId="0" applyFont="1" applyBorder="1" applyAlignment="1" applyProtection="1">
      <alignment horizontal="center" vertical="center"/>
      <protection locked="0"/>
    </xf>
    <xf numFmtId="0" fontId="22" fillId="0" borderId="9" xfId="0" applyFont="1" applyBorder="1" applyAlignment="1" applyProtection="1">
      <alignment horizontal="center" vertical="center"/>
      <protection locked="0"/>
    </xf>
    <xf numFmtId="0" fontId="22" fillId="0" borderId="11" xfId="0" applyFont="1" applyBorder="1" applyAlignment="1" applyProtection="1">
      <alignment horizontal="center" vertical="center"/>
      <protection locked="0"/>
    </xf>
    <xf numFmtId="0" fontId="1" fillId="0" borderId="0" xfId="1" applyAlignment="1" applyProtection="1">
      <protection locked="0"/>
    </xf>
    <xf numFmtId="49" fontId="15" fillId="0" borderId="15" xfId="0" applyNumberFormat="1" applyFont="1" applyBorder="1" applyAlignment="1">
      <alignment horizontal="left"/>
    </xf>
    <xf numFmtId="0" fontId="4" fillId="0" borderId="0" xfId="3"/>
    <xf numFmtId="0" fontId="4" fillId="0" borderId="0" xfId="0" applyFont="1"/>
    <xf numFmtId="0" fontId="22" fillId="0" borderId="10" xfId="0" applyFont="1" applyBorder="1" applyAlignment="1" applyProtection="1">
      <alignment horizontal="center" vertical="center"/>
      <protection locked="0"/>
    </xf>
    <xf numFmtId="44" fontId="0" fillId="0" borderId="1" xfId="0" applyNumberFormat="1" applyBorder="1" applyAlignment="1">
      <alignment horizontal="left"/>
    </xf>
    <xf numFmtId="44" fontId="0" fillId="0" borderId="1" xfId="0" applyNumberFormat="1" applyBorder="1"/>
    <xf numFmtId="44" fontId="0" fillId="0" borderId="0" xfId="0" applyNumberFormat="1"/>
    <xf numFmtId="44" fontId="0" fillId="0" borderId="0" xfId="2" applyNumberFormat="1" applyFont="1" applyAlignment="1">
      <alignment horizontal="left" indent="2"/>
    </xf>
    <xf numFmtId="44" fontId="5" fillId="0" borderId="0" xfId="2" applyNumberFormat="1" applyFont="1" applyFill="1" applyBorder="1" applyAlignment="1" applyProtection="1">
      <alignment horizontal="right"/>
    </xf>
    <xf numFmtId="44" fontId="0" fillId="0" borderId="0" xfId="0" applyNumberFormat="1" applyAlignment="1">
      <alignment horizontal="left"/>
    </xf>
    <xf numFmtId="44" fontId="10" fillId="2" borderId="1" xfId="0" applyNumberFormat="1" applyFont="1" applyFill="1" applyBorder="1"/>
    <xf numFmtId="44" fontId="10" fillId="0" borderId="0" xfId="0" applyNumberFormat="1" applyFont="1"/>
    <xf numFmtId="44" fontId="0" fillId="0" borderId="14" xfId="0" applyNumberFormat="1" applyBorder="1" applyAlignment="1">
      <alignment horizontal="left"/>
    </xf>
    <xf numFmtId="44" fontId="0" fillId="0" borderId="13" xfId="0" applyNumberForma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0" fillId="0" borderId="2" xfId="0" applyBorder="1" applyAlignment="1">
      <alignment horizontal="left"/>
    </xf>
    <xf numFmtId="44" fontId="9" fillId="2" borderId="0" xfId="2" applyNumberFormat="1" applyFont="1" applyFill="1" applyAlignment="1">
      <alignment horizontal="left" indent="2"/>
    </xf>
    <xf numFmtId="44" fontId="0" fillId="0" borderId="0" xfId="2" applyNumberFormat="1" applyFont="1" applyBorder="1" applyAlignment="1">
      <alignment horizontal="right"/>
    </xf>
    <xf numFmtId="44" fontId="9" fillId="2" borderId="0" xfId="0" applyNumberFormat="1" applyFont="1" applyFill="1" applyAlignment="1">
      <alignment horizontal="left" indent="2"/>
    </xf>
    <xf numFmtId="164" fontId="11" fillId="0" borderId="0" xfId="0" applyNumberFormat="1" applyFont="1"/>
    <xf numFmtId="0" fontId="11" fillId="0" borderId="0" xfId="0" applyFont="1" applyAlignment="1">
      <alignment horizontal="left" indent="2"/>
    </xf>
    <xf numFmtId="44" fontId="11" fillId="0" borderId="0" xfId="0" applyNumberFormat="1" applyFont="1" applyAlignment="1">
      <alignment horizontal="left" indent="2"/>
    </xf>
    <xf numFmtId="44" fontId="11" fillId="0" borderId="0" xfId="2" applyNumberFormat="1" applyFont="1" applyBorder="1" applyAlignment="1">
      <alignment horizontal="left" indent="2"/>
    </xf>
    <xf numFmtId="44" fontId="0" fillId="0" borderId="0" xfId="2" applyNumberFormat="1" applyFont="1" applyBorder="1" applyAlignment="1">
      <alignment horizontal="left" indent="2"/>
    </xf>
    <xf numFmtId="0" fontId="7" fillId="0" borderId="0" xfId="4" applyFont="1" applyAlignment="1">
      <alignment horizontal="left"/>
    </xf>
    <xf numFmtId="0" fontId="2" fillId="0" borderId="2" xfId="0" applyFont="1" applyBorder="1"/>
    <xf numFmtId="0" fontId="7" fillId="0" borderId="2" xfId="4" applyFont="1" applyBorder="1" applyAlignment="1">
      <alignment horizontal="left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right"/>
    </xf>
    <xf numFmtId="44" fontId="5" fillId="0" borderId="0" xfId="0" applyNumberFormat="1" applyFont="1"/>
    <xf numFmtId="49" fontId="0" fillId="0" borderId="0" xfId="0" applyNumberFormat="1" applyAlignment="1">
      <alignment vertical="center"/>
    </xf>
    <xf numFmtId="49" fontId="5" fillId="0" borderId="0" xfId="0" applyNumberFormat="1" applyFont="1" applyAlignment="1">
      <alignment horizontal="left" vertical="center"/>
    </xf>
    <xf numFmtId="0" fontId="0" fillId="0" borderId="0" xfId="0" applyAlignment="1">
      <alignment vertical="center"/>
    </xf>
    <xf numFmtId="44" fontId="0" fillId="0" borderId="0" xfId="2" applyNumberFormat="1" applyFont="1" applyFill="1" applyBorder="1" applyProtection="1"/>
    <xf numFmtId="44" fontId="31" fillId="0" borderId="0" xfId="2" applyNumberFormat="1" applyFont="1" applyFill="1" applyBorder="1" applyAlignment="1" applyProtection="1">
      <alignment horizontal="right" vertical="center"/>
    </xf>
    <xf numFmtId="44" fontId="26" fillId="0" borderId="0" xfId="2" applyNumberFormat="1" applyFont="1" applyBorder="1" applyProtection="1"/>
    <xf numFmtId="0" fontId="26" fillId="0" borderId="0" xfId="0" applyFont="1"/>
    <xf numFmtId="44" fontId="11" fillId="0" borderId="0" xfId="0" applyNumberFormat="1" applyFont="1"/>
    <xf numFmtId="0" fontId="9" fillId="0" borderId="0" xfId="0" applyFont="1"/>
    <xf numFmtId="44" fontId="9" fillId="0" borderId="0" xfId="2" applyNumberFormat="1" applyFont="1" applyFill="1" applyBorder="1" applyAlignment="1" applyProtection="1">
      <alignment horizontal="right"/>
    </xf>
    <xf numFmtId="164" fontId="9" fillId="0" borderId="0" xfId="2" applyFont="1" applyFill="1" applyBorder="1" applyAlignment="1" applyProtection="1">
      <alignment horizontal="right"/>
    </xf>
    <xf numFmtId="44" fontId="0" fillId="0" borderId="0" xfId="2" applyNumberFormat="1" applyFont="1" applyBorder="1" applyAlignment="1" applyProtection="1">
      <alignment horizontal="left" indent="2"/>
    </xf>
    <xf numFmtId="44" fontId="5" fillId="0" borderId="1" xfId="2" applyNumberFormat="1" applyFont="1" applyFill="1" applyBorder="1" applyAlignment="1" applyProtection="1">
      <alignment horizontal="right"/>
      <protection locked="0"/>
    </xf>
    <xf numFmtId="44" fontId="5" fillId="0" borderId="1" xfId="0" applyNumberFormat="1" applyFont="1" applyBorder="1" applyProtection="1">
      <protection locked="0"/>
    </xf>
    <xf numFmtId="44" fontId="26" fillId="0" borderId="1" xfId="0" applyNumberFormat="1" applyFont="1" applyBorder="1"/>
    <xf numFmtId="44" fontId="5" fillId="0" borderId="1" xfId="0" applyNumberFormat="1" applyFont="1" applyBorder="1" applyAlignment="1" applyProtection="1">
      <alignment vertical="center"/>
      <protection locked="0"/>
    </xf>
    <xf numFmtId="164" fontId="8" fillId="0" borderId="0" xfId="2" applyFont="1" applyFill="1" applyBorder="1" applyAlignment="1" applyProtection="1">
      <alignment horizontal="left"/>
    </xf>
    <xf numFmtId="44" fontId="5" fillId="0" borderId="16" xfId="2" applyNumberFormat="1" applyFont="1" applyFill="1" applyBorder="1" applyAlignment="1" applyProtection="1">
      <alignment horizontal="right"/>
      <protection locked="0"/>
    </xf>
    <xf numFmtId="44" fontId="5" fillId="0" borderId="16" xfId="2" applyNumberFormat="1" applyFont="1" applyFill="1" applyBorder="1" applyAlignment="1" applyProtection="1">
      <alignment horizontal="right" vertical="center"/>
      <protection locked="0"/>
    </xf>
    <xf numFmtId="44" fontId="26" fillId="0" borderId="16" xfId="2" applyNumberFormat="1" applyFont="1" applyFill="1" applyBorder="1" applyAlignment="1" applyProtection="1">
      <alignment horizontal="right"/>
    </xf>
    <xf numFmtId="44" fontId="26" fillId="0" borderId="0" xfId="0" applyNumberFormat="1" applyFont="1"/>
    <xf numFmtId="0" fontId="0" fillId="0" borderId="2" xfId="0" applyBorder="1" applyAlignment="1">
      <alignment horizontal="right"/>
    </xf>
    <xf numFmtId="44" fontId="26" fillId="0" borderId="3" xfId="2" applyNumberFormat="1" applyFont="1" applyBorder="1" applyProtection="1"/>
    <xf numFmtId="44" fontId="5" fillId="0" borderId="17" xfId="2" applyNumberFormat="1" applyFont="1" applyFill="1" applyBorder="1" applyAlignment="1" applyProtection="1">
      <alignment horizontal="right"/>
      <protection locked="0"/>
    </xf>
    <xf numFmtId="44" fontId="5" fillId="0" borderId="17" xfId="0" applyNumberFormat="1" applyFont="1" applyBorder="1" applyProtection="1">
      <protection locked="0"/>
    </xf>
    <xf numFmtId="44" fontId="2" fillId="0" borderId="1" xfId="0" applyNumberFormat="1" applyFont="1" applyBorder="1" applyAlignment="1">
      <alignment horizontal="left"/>
    </xf>
    <xf numFmtId="44" fontId="0" fillId="0" borderId="1" xfId="0" applyNumberFormat="1" applyBorder="1" applyProtection="1">
      <protection locked="0"/>
    </xf>
    <xf numFmtId="49" fontId="15" fillId="0" borderId="18" xfId="0" applyNumberFormat="1" applyFont="1" applyBorder="1" applyAlignment="1">
      <alignment horizontal="left"/>
    </xf>
    <xf numFmtId="44" fontId="5" fillId="0" borderId="0" xfId="0" applyNumberFormat="1" applyFont="1" applyAlignment="1">
      <alignment vertical="center"/>
    </xf>
    <xf numFmtId="14" fontId="0" fillId="0" borderId="13" xfId="0" applyNumberFormat="1" applyBorder="1" applyAlignment="1" applyProtection="1">
      <alignment horizontal="left"/>
      <protection locked="0"/>
    </xf>
    <xf numFmtId="0" fontId="29" fillId="0" borderId="13" xfId="0" applyFont="1" applyBorder="1" applyAlignment="1" applyProtection="1">
      <alignment horizontal="left"/>
      <protection locked="0"/>
    </xf>
    <xf numFmtId="0" fontId="5" fillId="0" borderId="13" xfId="0" applyFont="1" applyBorder="1" applyAlignment="1" applyProtection="1">
      <alignment horizontal="left"/>
      <protection locked="0"/>
    </xf>
    <xf numFmtId="44" fontId="5" fillId="0" borderId="13" xfId="0" applyNumberFormat="1" applyFont="1" applyBorder="1" applyProtection="1">
      <protection locked="0"/>
    </xf>
    <xf numFmtId="9" fontId="29" fillId="0" borderId="13" xfId="5" applyFont="1" applyBorder="1" applyAlignment="1" applyProtection="1">
      <alignment horizontal="right"/>
      <protection locked="0"/>
    </xf>
    <xf numFmtId="44" fontId="0" fillId="0" borderId="13" xfId="0" applyNumberFormat="1" applyBorder="1"/>
    <xf numFmtId="0" fontId="0" fillId="0" borderId="13" xfId="0" applyBorder="1" applyProtection="1">
      <protection locked="0"/>
    </xf>
    <xf numFmtId="1" fontId="0" fillId="0" borderId="13" xfId="0" applyNumberFormat="1" applyBorder="1" applyProtection="1">
      <protection locked="0"/>
    </xf>
    <xf numFmtId="14" fontId="0" fillId="0" borderId="19" xfId="0" applyNumberFormat="1" applyBorder="1" applyAlignment="1" applyProtection="1">
      <alignment horizontal="left"/>
      <protection locked="0"/>
    </xf>
    <xf numFmtId="0" fontId="29" fillId="0" borderId="19" xfId="0" applyFont="1" applyBorder="1" applyAlignment="1" applyProtection="1">
      <alignment horizontal="left"/>
      <protection locked="0"/>
    </xf>
    <xf numFmtId="0" fontId="5" fillId="0" borderId="19" xfId="0" applyFont="1" applyBorder="1" applyAlignment="1" applyProtection="1">
      <alignment horizontal="left"/>
      <protection locked="0"/>
    </xf>
    <xf numFmtId="44" fontId="5" fillId="0" borderId="19" xfId="0" applyNumberFormat="1" applyFont="1" applyBorder="1" applyProtection="1">
      <protection locked="0"/>
    </xf>
    <xf numFmtId="9" fontId="29" fillId="0" borderId="19" xfId="5" applyFont="1" applyBorder="1" applyAlignment="1" applyProtection="1">
      <alignment horizontal="right"/>
      <protection locked="0"/>
    </xf>
    <xf numFmtId="44" fontId="0" fillId="0" borderId="19" xfId="0" applyNumberFormat="1" applyBorder="1"/>
    <xf numFmtId="0" fontId="0" fillId="0" borderId="19" xfId="0" applyBorder="1" applyProtection="1">
      <protection locked="0"/>
    </xf>
    <xf numFmtId="1" fontId="0" fillId="0" borderId="19" xfId="0" applyNumberFormat="1" applyBorder="1" applyProtection="1">
      <protection locked="0"/>
    </xf>
    <xf numFmtId="0" fontId="0" fillId="0" borderId="19" xfId="0" applyBorder="1" applyAlignment="1" applyProtection="1">
      <alignment horizontal="left"/>
      <protection locked="0"/>
    </xf>
    <xf numFmtId="44" fontId="0" fillId="0" borderId="19" xfId="0" applyNumberFormat="1" applyBorder="1" applyProtection="1">
      <protection locked="0"/>
    </xf>
    <xf numFmtId="0" fontId="28" fillId="0" borderId="19" xfId="0" applyFont="1" applyBorder="1" applyAlignment="1" applyProtection="1">
      <alignment horizontal="left"/>
      <protection locked="0"/>
    </xf>
    <xf numFmtId="9" fontId="28" fillId="0" borderId="19" xfId="5" applyFont="1" applyBorder="1" applyAlignment="1" applyProtection="1">
      <alignment horizontal="right"/>
      <protection locked="0"/>
    </xf>
    <xf numFmtId="9" fontId="0" fillId="0" borderId="19" xfId="5" applyFont="1" applyBorder="1" applyAlignment="1" applyProtection="1">
      <alignment horizontal="right"/>
      <protection locked="0"/>
    </xf>
    <xf numFmtId="44" fontId="0" fillId="0" borderId="19" xfId="0" applyNumberFormat="1" applyBorder="1" applyAlignment="1" applyProtection="1">
      <alignment horizontal="left"/>
      <protection locked="0"/>
    </xf>
    <xf numFmtId="44" fontId="0" fillId="0" borderId="1" xfId="0" applyNumberFormat="1" applyBorder="1" applyAlignment="1" applyProtection="1">
      <alignment horizontal="left"/>
      <protection locked="0"/>
    </xf>
    <xf numFmtId="0" fontId="33" fillId="0" borderId="0" xfId="0" applyFont="1" applyProtection="1"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 applyProtection="1">
      <alignment horizontal="left"/>
      <protection locked="0"/>
    </xf>
    <xf numFmtId="0" fontId="23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</cellXfs>
  <cellStyles count="6">
    <cellStyle name="Hyperlink" xfId="1" builtinId="8"/>
    <cellStyle name="Procent" xfId="5" builtinId="5"/>
    <cellStyle name="Standaard" xfId="0" builtinId="0"/>
    <cellStyle name="Standaard 2" xfId="3" xr:uid="{00000000-0005-0000-0000-000003000000}"/>
    <cellStyle name="Standaard 3" xfId="4" xr:uid="{00000000-0005-0000-0000-000004000000}"/>
    <cellStyle name="Valuta" xfId="2" builtinId="4"/>
  </cellStyles>
  <dxfs count="96">
    <dxf>
      <font>
        <color rgb="FFFFFFFF"/>
      </font>
      <fill>
        <patternFill patternType="none"/>
      </fill>
      <border>
        <left/>
        <right/>
        <top/>
        <bottom/>
      </border>
    </dxf>
    <dxf>
      <font>
        <color rgb="FFFFFFFF"/>
      </font>
      <fill>
        <patternFill patternType="none"/>
      </fill>
      <border>
        <left/>
        <right/>
        <top/>
        <bottom/>
      </border>
    </dxf>
    <dxf>
      <font>
        <color rgb="FFFFFFFF"/>
      </font>
      <fill>
        <patternFill patternType="none"/>
      </fill>
      <border>
        <left/>
        <right/>
        <top/>
        <bottom/>
      </border>
    </dxf>
    <dxf>
      <font>
        <color rgb="FFFFFFFF"/>
      </font>
      <fill>
        <patternFill patternType="none"/>
      </fill>
      <border>
        <left/>
        <right/>
        <top/>
        <bottom/>
      </border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353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3300"/>
      <color rgb="FFFF0000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-boekhouden.nl/bobbie?c=excel-boekhouden.nl&amp;utm_source=excel-boekhouden.nl&amp;utm_medium=excel&amp;utm_campaign=Excel%20Boekhouden&amp;utm_content=stap-over" TargetMode="External"/><Relationship Id="rId2" Type="http://schemas.openxmlformats.org/officeDocument/2006/relationships/hyperlink" Target="http://www.excel-boekhouden.nl/disclaimer" TargetMode="External"/><Relationship Id="rId1" Type="http://schemas.openxmlformats.org/officeDocument/2006/relationships/hyperlink" Target="http://www.excel-boekhouden.nl/handleiding" TargetMode="Externa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http://excel-boekhouden.nl/handleiding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http://excel-boekhouden.nl/handleiding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http://excel-boekhouden.nl/handleiding/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http://excel-boekhouden.nl/handleiding/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http://excel-boekhouden.nl/handleiding/" TargetMode="External"/><Relationship Id="rId1" Type="http://schemas.openxmlformats.org/officeDocument/2006/relationships/hyperlink" Target="https://www.e-boekhouden.nl/functies/btw-aangifte-icp-opgaaf?c=excel-boekhouden.nl&amp;utm_source=excel-boekhouden.nl&amp;utm_medium=excel&amp;utm_campaign=Excel%20Boekhouden&amp;utm_content=btw-aangifte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http://excel-boekhouden.nl/handleiding/" TargetMode="External"/><Relationship Id="rId1" Type="http://schemas.openxmlformats.org/officeDocument/2006/relationships/hyperlink" Target="https://www.e-boekhouden.nl/functies/btw-aangifte-icp-opgaaf?c=excel-boekhouden.nl&amp;utm_source=excel-boekhouden.nl&amp;utm_medium=excel&amp;utm_campaign=Excel%20Boekhouden&amp;utm_content=btw-aangifte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http://excel-boekhouden.nl/handleiding/" TargetMode="External"/><Relationship Id="rId1" Type="http://schemas.openxmlformats.org/officeDocument/2006/relationships/hyperlink" Target="https://www.e-boekhouden.nl/functies/btw-aangifte-icp-opgaaf?c=excel-boekhouden.nl&amp;utm_source=excel-boekhouden.nl&amp;utm_medium=excel&amp;utm_campaign=Excel%20Boekhouden&amp;utm_content=btw-aangifte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http://excel-boekhouden.nl/handleiding/" TargetMode="Externa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-boekhouden.nl?C=excelshee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7</xdr:row>
      <xdr:rowOff>123824</xdr:rowOff>
    </xdr:from>
    <xdr:to>
      <xdr:col>10</xdr:col>
      <xdr:colOff>0</xdr:colOff>
      <xdr:row>10</xdr:row>
      <xdr:rowOff>95250</xdr:rowOff>
    </xdr:to>
    <xdr:sp macro="" textlink="">
      <xdr:nvSpPr>
        <xdr:cNvPr id="2" name="Afgeronde rechthoek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676900" y="1504949"/>
          <a:ext cx="3867150" cy="571501"/>
        </a:xfrm>
        <a:prstGeom prst="roundRect">
          <a:avLst/>
        </a:prstGeom>
        <a:solidFill>
          <a:srgbClr val="0070C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bg1"/>
              </a:solidFill>
            </a:rPr>
            <a:t>Bekijk hier onze handleiding</a:t>
          </a:r>
        </a:p>
      </xdr:txBody>
    </xdr:sp>
    <xdr:clientData/>
  </xdr:twoCellAnchor>
  <xdr:twoCellAnchor>
    <xdr:from>
      <xdr:col>6</xdr:col>
      <xdr:colOff>9525</xdr:colOff>
      <xdr:row>11</xdr:row>
      <xdr:rowOff>76199</xdr:rowOff>
    </xdr:from>
    <xdr:to>
      <xdr:col>10</xdr:col>
      <xdr:colOff>0</xdr:colOff>
      <xdr:row>14</xdr:row>
      <xdr:rowOff>57149</xdr:rowOff>
    </xdr:to>
    <xdr:sp macro="[0]!ExportOpenen" textlink="">
      <xdr:nvSpPr>
        <xdr:cNvPr id="3" name="Afgeronde rechthoe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676900" y="2257424"/>
          <a:ext cx="3867150" cy="581025"/>
        </a:xfrm>
        <a:prstGeom prst="roundRect">
          <a:avLst/>
        </a:prstGeom>
        <a:solidFill>
          <a:srgbClr val="0070C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Exporteer je boekhouding eenvoudig naar </a:t>
          </a:r>
          <a:r>
            <a:rPr lang="nl-NL" sz="1100" baseline="0"/>
            <a:t>e-Boekhouden.nl</a:t>
          </a:r>
          <a:endParaRPr lang="nl-NL" sz="1100"/>
        </a:p>
      </xdr:txBody>
    </xdr:sp>
    <xdr:clientData/>
  </xdr:twoCellAnchor>
  <xdr:twoCellAnchor>
    <xdr:from>
      <xdr:col>0</xdr:col>
      <xdr:colOff>161924</xdr:colOff>
      <xdr:row>23</xdr:row>
      <xdr:rowOff>104774</xdr:rowOff>
    </xdr:from>
    <xdr:to>
      <xdr:col>4</xdr:col>
      <xdr:colOff>352424</xdr:colOff>
      <xdr:row>42</xdr:row>
      <xdr:rowOff>28575</xdr:rowOff>
    </xdr:to>
    <xdr:sp macro="" textlink="">
      <xdr:nvSpPr>
        <xdr:cNvPr id="4" name="Tekstvak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61924" y="4571999"/>
          <a:ext cx="4638675" cy="300037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Excel-boekhouden.nl</a:t>
          </a:r>
          <a:r>
            <a:rPr lang="nl-NL" sz="1400" b="0" i="0" u="none" strike="noStrike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 De beste gratis Excel-boekhouding</a:t>
          </a:r>
          <a:endParaRPr lang="nl-NL" sz="14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Bobbie </a:t>
          </a:r>
          <a:r>
            <a:rPr lang="nl-NL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wordt gratis ter beschikking gesteld door Excel-boekhouden.nl en is niet bedoeld voor wederverkoop. Als je de Excel-boekhouding gebruikt ga je akkoord met de </a:t>
          </a:r>
          <a:r>
            <a:rPr lang="nl-NL" sz="1100" b="0" i="0" u="sng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disclaimer</a:t>
          </a:r>
          <a:r>
            <a:rPr lang="nl-NL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nl-NL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57150</xdr:colOff>
      <xdr:row>23</xdr:row>
      <xdr:rowOff>104775</xdr:rowOff>
    </xdr:from>
    <xdr:to>
      <xdr:col>10</xdr:col>
      <xdr:colOff>171450</xdr:colOff>
      <xdr:row>42</xdr:row>
      <xdr:rowOff>76200</xdr:rowOff>
    </xdr:to>
    <xdr:sp macro="" textlink="">
      <xdr:nvSpPr>
        <xdr:cNvPr id="5" name="Tekstvak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114925" y="4572000"/>
          <a:ext cx="4600575" cy="3048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 b="0" i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Stap nu over naar online boekhouden met e-Boekhouden.nl</a:t>
          </a:r>
          <a:endParaRPr lang="nl-NL" sz="1400">
            <a:solidFill>
              <a:srgbClr val="0070C0"/>
            </a:solidFill>
            <a:effectLst/>
          </a:endParaRPr>
        </a:p>
        <a:p>
          <a:r>
            <a:rPr lang="nl-NL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Overstappen van Excel naar een online boekhoudpakket hoeft niet moeilijk te zijn. Met Excel-Boekhouden.nl exporteer jij de complete boekhouding met één druk op de knop naar e-Boekhouden.nl. Maak nu een </a:t>
          </a:r>
          <a:r>
            <a:rPr lang="nl-NL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gratis account </a:t>
          </a:r>
          <a:r>
            <a:rPr lang="nl-NL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aan en ervaar de gemakken van online boekhouden!</a:t>
          </a:r>
        </a:p>
      </xdr:txBody>
    </xdr:sp>
    <xdr:clientData/>
  </xdr:twoCellAnchor>
  <xdr:twoCellAnchor editAs="oneCell">
    <xdr:from>
      <xdr:col>8</xdr:col>
      <xdr:colOff>197894</xdr:colOff>
      <xdr:row>16</xdr:row>
      <xdr:rowOff>101394</xdr:rowOff>
    </xdr:from>
    <xdr:to>
      <xdr:col>9</xdr:col>
      <xdr:colOff>600195</xdr:colOff>
      <xdr:row>21</xdr:row>
      <xdr:rowOff>19722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8619228" flipH="1">
          <a:off x="7084469" y="3282744"/>
          <a:ext cx="1011901" cy="880353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3</xdr:row>
      <xdr:rowOff>133349</xdr:rowOff>
    </xdr:from>
    <xdr:to>
      <xdr:col>10</xdr:col>
      <xdr:colOff>0</xdr:colOff>
      <xdr:row>6</xdr:row>
      <xdr:rowOff>142875</xdr:rowOff>
    </xdr:to>
    <xdr:sp macro="[0]!BalansOpenen" textlink="">
      <xdr:nvSpPr>
        <xdr:cNvPr id="7" name="Afgeronde rechthoe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676900" y="752474"/>
          <a:ext cx="3867150" cy="571501"/>
        </a:xfrm>
        <a:prstGeom prst="roundRect">
          <a:avLst/>
        </a:prstGeom>
        <a:solidFill>
          <a:srgbClr val="0070C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bg1"/>
              </a:solidFill>
            </a:rPr>
            <a:t>Wijzig of bekijk</a:t>
          </a:r>
          <a:r>
            <a:rPr lang="nl-NL" sz="1100" baseline="0">
              <a:solidFill>
                <a:schemeClr val="bg1"/>
              </a:solidFill>
            </a:rPr>
            <a:t> de beginbalans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41</xdr:row>
      <xdr:rowOff>47625</xdr:rowOff>
    </xdr:from>
    <xdr:to>
      <xdr:col>5</xdr:col>
      <xdr:colOff>1123950</xdr:colOff>
      <xdr:row>44</xdr:row>
      <xdr:rowOff>152400</xdr:rowOff>
    </xdr:to>
    <xdr:sp macro="" textlink="" fLocksText="0">
      <xdr:nvSpPr>
        <xdr:cNvPr id="2" name="Text 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33350" y="7439025"/>
          <a:ext cx="6981825" cy="6000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nl-NL" sz="1000" b="0" i="0" u="none" strike="noStrike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 wordt verzocht het vermelde bedrag binnen 14 dagen over te maken op het onderstaande rekeningnummer onder vermelding van het factuurnummer. Het totaalbedrag dient binnen 14 dagen te worden voldaan.</a:t>
          </a:r>
          <a:r>
            <a:rPr lang="nl-NL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nl-NL" sz="1000" b="0" i="0" u="none" strike="noStrike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Bij achterstallige rekeningen wordt de wettelijk verschuldigde rente</a:t>
          </a:r>
          <a:r>
            <a:rPr lang="nl-NL" sz="1000" b="0" i="0" u="none" strike="noStrike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lang="nl-NL" sz="1000" b="0" i="0" u="none" strike="noStrike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 rekening gebracht.</a:t>
          </a:r>
          <a:r>
            <a:rPr lang="nl-NL"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ctr" rtl="0">
            <a:defRPr sz="1000"/>
          </a:pPr>
          <a:endParaRPr lang="nl-NL" sz="1000" b="1" i="0" u="none" strike="noStrike" baseline="0">
            <a:solidFill>
              <a:srgbClr val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 rtl="0">
            <a:defRPr sz="1000"/>
          </a:pPr>
          <a:endParaRPr lang="nl-NL" sz="1000" b="1" i="0" u="none" strike="noStrike" baseline="0">
            <a:solidFill>
              <a:srgbClr val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10</xdr:col>
      <xdr:colOff>0</xdr:colOff>
      <xdr:row>4</xdr:row>
      <xdr:rowOff>0</xdr:rowOff>
    </xdr:to>
    <xdr:sp macro="[0]!Knopwissen" textlink="">
      <xdr:nvSpPr>
        <xdr:cNvPr id="3" name="Afgeronde rechthoe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505700" y="819150"/>
          <a:ext cx="1828800" cy="485775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bg1"/>
              </a:solidFill>
            </a:rPr>
            <a:t>Factuur</a:t>
          </a:r>
          <a:r>
            <a:rPr lang="nl-NL" sz="1100" baseline="0">
              <a:solidFill>
                <a:schemeClr val="bg1"/>
              </a:solidFill>
            </a:rPr>
            <a:t> leegmaken</a:t>
          </a:r>
          <a:endParaRPr lang="nl-NL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7</xdr:col>
      <xdr:colOff>0</xdr:colOff>
      <xdr:row>5</xdr:row>
      <xdr:rowOff>0</xdr:rowOff>
    </xdr:from>
    <xdr:to>
      <xdr:col>10</xdr:col>
      <xdr:colOff>0</xdr:colOff>
      <xdr:row>8</xdr:row>
      <xdr:rowOff>0</xdr:rowOff>
    </xdr:to>
    <xdr:sp macro="[0]!Knopverwerkeninboekhouding" textlink="">
      <xdr:nvSpPr>
        <xdr:cNvPr id="7" name="Afgeronde recht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505700" y="1466850"/>
          <a:ext cx="1828800" cy="485775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Factuur verwerken</a:t>
          </a:r>
          <a:r>
            <a:rPr lang="nl-NL" sz="1100" baseline="0"/>
            <a:t> </a:t>
          </a:r>
        </a:p>
        <a:p>
          <a:pPr algn="ctr"/>
          <a:r>
            <a:rPr lang="nl-NL" sz="1100" baseline="0"/>
            <a:t>in boekhouding</a:t>
          </a:r>
          <a:r>
            <a:rPr lang="nl-NL" sz="1100"/>
            <a:t>	</a:t>
          </a:r>
        </a:p>
      </xdr:txBody>
    </xdr:sp>
    <xdr:clientData fPrintsWithSheet="0"/>
  </xdr:twoCellAnchor>
  <xdr:twoCellAnchor>
    <xdr:from>
      <xdr:col>7</xdr:col>
      <xdr:colOff>0</xdr:colOff>
      <xdr:row>9</xdr:row>
      <xdr:rowOff>0</xdr:rowOff>
    </xdr:from>
    <xdr:to>
      <xdr:col>10</xdr:col>
      <xdr:colOff>0</xdr:colOff>
      <xdr:row>11</xdr:row>
      <xdr:rowOff>66675</xdr:rowOff>
    </xdr:to>
    <xdr:sp macro="[0]!KnopOpslaan" textlink="">
      <xdr:nvSpPr>
        <xdr:cNvPr id="8" name="Afgeronde recht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505700" y="2114550"/>
          <a:ext cx="1828800" cy="485775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Factuur opslaan</a:t>
          </a:r>
        </a:p>
      </xdr:txBody>
    </xdr:sp>
    <xdr:clientData fPrintsWithSheet="0"/>
  </xdr:twoCellAnchor>
  <xdr:twoCellAnchor>
    <xdr:from>
      <xdr:col>1</xdr:col>
      <xdr:colOff>9525</xdr:colOff>
      <xdr:row>45</xdr:row>
      <xdr:rowOff>85725</xdr:rowOff>
    </xdr:from>
    <xdr:to>
      <xdr:col>6</xdr:col>
      <xdr:colOff>1</xdr:colOff>
      <xdr:row>48</xdr:row>
      <xdr:rowOff>66675</xdr:rowOff>
    </xdr:to>
    <xdr:sp macro="" textlink="P5" fLocksText="0">
      <xdr:nvSpPr>
        <xdr:cNvPr id="4" name="Tekstva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52400" y="8134350"/>
          <a:ext cx="6972301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929AC73-6592-43EC-AB54-A0819980B7E4}" type="TxLink">
            <a:rPr lang="en-US" sz="10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KVK: 4088186 | IBAN: NL46 KNAB 0776 3468 22 t.n.v. De Natuurwaarnemer</a:t>
          </a:fld>
          <a:endParaRPr lang="en-US" b="1"/>
        </a:p>
      </xdr:txBody>
    </xdr:sp>
    <xdr:clientData fLock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1728474</xdr:colOff>
      <xdr:row>1</xdr:row>
      <xdr:rowOff>126999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76A5F0EA-CEB2-93C1-1364-814302EC3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3350" y="0"/>
          <a:ext cx="2642874" cy="9461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1181100</xdr:colOff>
      <xdr:row>1</xdr:row>
      <xdr:rowOff>57150</xdr:rowOff>
    </xdr:from>
    <xdr:to>
      <xdr:col>11</xdr:col>
      <xdr:colOff>0</xdr:colOff>
      <xdr:row>2</xdr:row>
      <xdr:rowOff>123825</xdr:rowOff>
    </xdr:to>
    <xdr:pic>
      <xdr:nvPicPr>
        <xdr:cNvPr id="2" name="Afbeelding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63250" y="352425"/>
          <a:ext cx="228600" cy="228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1181100</xdr:colOff>
      <xdr:row>1</xdr:row>
      <xdr:rowOff>57150</xdr:rowOff>
    </xdr:from>
    <xdr:to>
      <xdr:col>11</xdr:col>
      <xdr:colOff>0</xdr:colOff>
      <xdr:row>2</xdr:row>
      <xdr:rowOff>123825</xdr:rowOff>
    </xdr:to>
    <xdr:pic>
      <xdr:nvPicPr>
        <xdr:cNvPr id="3" name="Afbeelding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63250" y="352425"/>
          <a:ext cx="228600" cy="2286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</xdr:colOff>
      <xdr:row>30</xdr:row>
      <xdr:rowOff>9525</xdr:rowOff>
    </xdr:from>
    <xdr:ext cx="7458075" cy="809625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257175" y="4838700"/>
          <a:ext cx="7458075" cy="8096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l-NL" sz="1100" b="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Ben je een startende ondernemer, dan heb je geen bestaande boekhouding en voer je ook geen beginbalans</a:t>
          </a:r>
          <a:r>
            <a:rPr lang="nl-NL" sz="1100" b="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in</a:t>
          </a:r>
          <a:r>
            <a:rPr lang="nl-NL" sz="1100" b="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 Alleen als je</a:t>
          </a:r>
          <a:r>
            <a:rPr lang="nl-NL" sz="1100" b="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nl-NL" sz="1100" b="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overstapt van een</a:t>
          </a:r>
          <a:r>
            <a:rPr lang="nl-NL" sz="1100" b="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andere boekhouding</a:t>
          </a:r>
          <a:r>
            <a:rPr lang="nl-NL" sz="1100" b="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voer</a:t>
          </a:r>
          <a:r>
            <a:rPr lang="nl-NL" sz="1100" b="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je</a:t>
          </a:r>
          <a:r>
            <a:rPr lang="nl-NL" sz="1100" b="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de beginbalans in.</a:t>
          </a:r>
        </a:p>
        <a:p>
          <a:r>
            <a:rPr lang="nl-NL" sz="1100" b="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 beginbalans wordt ook wel ‘Openingsbalans’ genoemd. De beginbalans is de balans zoals deze op de laatste datum van de vorige boekhouding was.</a:t>
          </a:r>
        </a:p>
      </xdr:txBody>
    </xdr:sp>
    <xdr:clientData/>
  </xdr:oneCellAnchor>
  <xdr:twoCellAnchor editAs="oneCell">
    <xdr:from>
      <xdr:col>8</xdr:col>
      <xdr:colOff>1543050</xdr:colOff>
      <xdr:row>1</xdr:row>
      <xdr:rowOff>57150</xdr:rowOff>
    </xdr:from>
    <xdr:to>
      <xdr:col>8</xdr:col>
      <xdr:colOff>1771650</xdr:colOff>
      <xdr:row>2</xdr:row>
      <xdr:rowOff>123825</xdr:rowOff>
    </xdr:to>
    <xdr:pic>
      <xdr:nvPicPr>
        <xdr:cNvPr id="3" name="Afbeelding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3600" y="352425"/>
          <a:ext cx="228600" cy="228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1143000</xdr:colOff>
      <xdr:row>1</xdr:row>
      <xdr:rowOff>66675</xdr:rowOff>
    </xdr:from>
    <xdr:to>
      <xdr:col>7</xdr:col>
      <xdr:colOff>1371600</xdr:colOff>
      <xdr:row>2</xdr:row>
      <xdr:rowOff>133350</xdr:rowOff>
    </xdr:to>
    <xdr:pic>
      <xdr:nvPicPr>
        <xdr:cNvPr id="2" name="Afbeelding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7350" y="361950"/>
          <a:ext cx="228600" cy="2286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66</xdr:row>
      <xdr:rowOff>9525</xdr:rowOff>
    </xdr:from>
    <xdr:to>
      <xdr:col>7</xdr:col>
      <xdr:colOff>0</xdr:colOff>
      <xdr:row>69</xdr:row>
      <xdr:rowOff>9525</xdr:rowOff>
    </xdr:to>
    <xdr:sp macro="" textlink="">
      <xdr:nvSpPr>
        <xdr:cNvPr id="2" name="Afgeronde rechthoek 1">
          <a:hlinkClick xmlns:r="http://schemas.openxmlformats.org/officeDocument/2006/relationships" r:id="rId1" invalidUrl="https://www.e-boekhouden.nl/functies/btw-aangifte-icp-opgaaf?c=excel-boekhouden.nl&amp;utm_source=excel-boekhouden.nl&amp;utm_medium=excel&amp;utm_campaign=Excel Boekhouden&amp;utm_content=btw-aangifte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47650" y="9048750"/>
          <a:ext cx="6781800" cy="485775"/>
        </a:xfrm>
        <a:prstGeom prst="roundRect">
          <a:avLst/>
        </a:prstGeom>
        <a:solidFill>
          <a:srgbClr val="0070C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Btw-aangifte</a:t>
          </a:r>
          <a:r>
            <a:rPr lang="nl-NL" sz="1100" baseline="0"/>
            <a:t> met één druk op de knop? Eenvoudig via e-Boekhouden.nl </a:t>
          </a:r>
          <a:endParaRPr lang="nl-NL" sz="1100"/>
        </a:p>
      </xdr:txBody>
    </xdr:sp>
    <xdr:clientData/>
  </xdr:twoCellAnchor>
  <xdr:twoCellAnchor editAs="oneCell">
    <xdr:from>
      <xdr:col>7</xdr:col>
      <xdr:colOff>2076450</xdr:colOff>
      <xdr:row>1</xdr:row>
      <xdr:rowOff>47625</xdr:rowOff>
    </xdr:from>
    <xdr:to>
      <xdr:col>7</xdr:col>
      <xdr:colOff>2305050</xdr:colOff>
      <xdr:row>2</xdr:row>
      <xdr:rowOff>114300</xdr:rowOff>
    </xdr:to>
    <xdr:pic>
      <xdr:nvPicPr>
        <xdr:cNvPr id="3" name="Afbeelding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7350" y="342900"/>
          <a:ext cx="228600" cy="2286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9525</xdr:rowOff>
    </xdr:from>
    <xdr:to>
      <xdr:col>7</xdr:col>
      <xdr:colOff>0</xdr:colOff>
      <xdr:row>14</xdr:row>
      <xdr:rowOff>9525</xdr:rowOff>
    </xdr:to>
    <xdr:sp macro="" textlink="">
      <xdr:nvSpPr>
        <xdr:cNvPr id="2" name="Afgeronde rechthoek 1">
          <a:hlinkClick xmlns:r="http://schemas.openxmlformats.org/officeDocument/2006/relationships" r:id="rId1" invalidUrl="https://www.e-boekhouden.nl/functies/btw-aangifte-icp-opgaaf?c=excel-boekhouden.nl&amp;utm_source=excel-boekhouden.nl&amp;utm_medium=excel&amp;utm_campaign=Excel Boekhouden&amp;utm_content=btw-aangifte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47650" y="1924050"/>
          <a:ext cx="6953250" cy="485775"/>
        </a:xfrm>
        <a:prstGeom prst="roundRect">
          <a:avLst/>
        </a:prstGeom>
        <a:solidFill>
          <a:srgbClr val="0070C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Btw-aangifte</a:t>
          </a:r>
          <a:r>
            <a:rPr lang="nl-NL" sz="1100" baseline="0"/>
            <a:t> met één druk op de knop? Eenvoudig via e-Boekhouden.nl </a:t>
          </a:r>
          <a:endParaRPr lang="nl-NL" sz="1100"/>
        </a:p>
      </xdr:txBody>
    </xdr:sp>
    <xdr:clientData/>
  </xdr:twoCellAnchor>
  <xdr:twoCellAnchor editAs="oneCell">
    <xdr:from>
      <xdr:col>7</xdr:col>
      <xdr:colOff>2076450</xdr:colOff>
      <xdr:row>1</xdr:row>
      <xdr:rowOff>57150</xdr:rowOff>
    </xdr:from>
    <xdr:to>
      <xdr:col>7</xdr:col>
      <xdr:colOff>2305050</xdr:colOff>
      <xdr:row>2</xdr:row>
      <xdr:rowOff>123825</xdr:rowOff>
    </xdr:to>
    <xdr:pic>
      <xdr:nvPicPr>
        <xdr:cNvPr id="3" name="Afbeelding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7350" y="352425"/>
          <a:ext cx="228600" cy="2286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9525</xdr:rowOff>
    </xdr:from>
    <xdr:to>
      <xdr:col>7</xdr:col>
      <xdr:colOff>0</xdr:colOff>
      <xdr:row>29</xdr:row>
      <xdr:rowOff>9525</xdr:rowOff>
    </xdr:to>
    <xdr:sp macro="" textlink="">
      <xdr:nvSpPr>
        <xdr:cNvPr id="2" name="Afgeronde rechthoek 1">
          <a:hlinkClick xmlns:r="http://schemas.openxmlformats.org/officeDocument/2006/relationships" r:id="rId1" invalidUrl="https://www.e-boekhouden.nl/functies/btw-aangifte-icp-opgaaf?c=excel-boekhouden.nl&amp;utm_source=excel-boekhouden.nl&amp;utm_medium=excel&amp;utm_campaign=Excel Boekhouden&amp;utm_content=btw-aangifte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50" y="4352925"/>
          <a:ext cx="6819900" cy="485775"/>
        </a:xfrm>
        <a:prstGeom prst="roundRect">
          <a:avLst/>
        </a:prstGeom>
        <a:solidFill>
          <a:srgbClr val="0070C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Btw-aangifte</a:t>
          </a:r>
          <a:r>
            <a:rPr lang="nl-NL" sz="1100" baseline="0"/>
            <a:t> met één druk op de knop? Eenvoudig via e-Boekhouden.nl </a:t>
          </a:r>
          <a:endParaRPr lang="nl-NL" sz="1100"/>
        </a:p>
      </xdr:txBody>
    </xdr:sp>
    <xdr:clientData/>
  </xdr:twoCellAnchor>
  <xdr:twoCellAnchor editAs="oneCell">
    <xdr:from>
      <xdr:col>0</xdr:col>
      <xdr:colOff>0</xdr:colOff>
      <xdr:row>86</xdr:row>
      <xdr:rowOff>0</xdr:rowOff>
    </xdr:from>
    <xdr:to>
      <xdr:col>0</xdr:col>
      <xdr:colOff>228600</xdr:colOff>
      <xdr:row>87</xdr:row>
      <xdr:rowOff>66675</xdr:rowOff>
    </xdr:to>
    <xdr:pic>
      <xdr:nvPicPr>
        <xdr:cNvPr id="3" name="Afbeelding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0589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7</xdr:col>
      <xdr:colOff>2076450</xdr:colOff>
      <xdr:row>1</xdr:row>
      <xdr:rowOff>66675</xdr:rowOff>
    </xdr:from>
    <xdr:to>
      <xdr:col>7</xdr:col>
      <xdr:colOff>2305050</xdr:colOff>
      <xdr:row>2</xdr:row>
      <xdr:rowOff>133350</xdr:rowOff>
    </xdr:to>
    <xdr:pic>
      <xdr:nvPicPr>
        <xdr:cNvPr id="4" name="Afbeelding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7350" y="361950"/>
          <a:ext cx="228600" cy="2286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1628775</xdr:colOff>
      <xdr:row>1</xdr:row>
      <xdr:rowOff>76200</xdr:rowOff>
    </xdr:from>
    <xdr:to>
      <xdr:col>7</xdr:col>
      <xdr:colOff>1857375</xdr:colOff>
      <xdr:row>2</xdr:row>
      <xdr:rowOff>142875</xdr:rowOff>
    </xdr:to>
    <xdr:pic>
      <xdr:nvPicPr>
        <xdr:cNvPr id="2" name="Afbeelding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72775" y="371475"/>
          <a:ext cx="228600" cy="2286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17</xdr:row>
      <xdr:rowOff>9525</xdr:rowOff>
    </xdr:from>
    <xdr:to>
      <xdr:col>3</xdr:col>
      <xdr:colOff>0</xdr:colOff>
      <xdr:row>19</xdr:row>
      <xdr:rowOff>0</xdr:rowOff>
    </xdr:to>
    <xdr:sp macro="[0]!ExportToEb" textlink="">
      <xdr:nvSpPr>
        <xdr:cNvPr id="4" name="Afgeronde rechthoek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590675" y="2990850"/>
          <a:ext cx="3762375" cy="390525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/>
            <a:t>Exporteer boekhouding naar e-Boekhouden.nl</a:t>
          </a:r>
        </a:p>
      </xdr:txBody>
    </xdr:sp>
    <xdr:clientData/>
  </xdr:twoCellAnchor>
  <xdr:twoCellAnchor>
    <xdr:from>
      <xdr:col>0</xdr:col>
      <xdr:colOff>190500</xdr:colOff>
      <xdr:row>4</xdr:row>
      <xdr:rowOff>28576</xdr:rowOff>
    </xdr:from>
    <xdr:to>
      <xdr:col>9</xdr:col>
      <xdr:colOff>352425</xdr:colOff>
      <xdr:row>9</xdr:row>
      <xdr:rowOff>142876</xdr:rowOff>
    </xdr:to>
    <xdr:sp macro="" textlink="">
      <xdr:nvSpPr>
        <xdr:cNvPr id="2" name="Tekstvak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90500" y="809626"/>
          <a:ext cx="9172575" cy="1123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Exporteer je Excel-boekhouding eenvoudig naar e-Boekhouden.nl via de API-koppeling.</a:t>
          </a:r>
        </a:p>
        <a:p>
          <a:endParaRPr lang="nl-NL" sz="1100"/>
        </a:p>
        <a:p>
          <a:r>
            <a:rPr lang="nl-NL" sz="1100"/>
            <a:t>1) Maak </a:t>
          </a:r>
          <a:r>
            <a:rPr lang="nl-NL" sz="1100" b="1" u="sng"/>
            <a:t>hier</a:t>
          </a:r>
          <a:r>
            <a:rPr lang="nl-NL" sz="1100"/>
            <a:t> een gratis account aan op e-Boekhouden.nl</a:t>
          </a:r>
        </a:p>
        <a:p>
          <a:r>
            <a:rPr lang="nl-NL" sz="1100"/>
            <a:t>2) Ga naar Beheer »</a:t>
          </a:r>
          <a:r>
            <a:rPr lang="nl-NL" sz="1100" baseline="0"/>
            <a:t> Inrichting » Instellingen » API/SOAP</a:t>
          </a:r>
        </a:p>
        <a:p>
          <a:r>
            <a:rPr lang="nl-NL" sz="1100" baseline="0"/>
            <a:t>3) Vul de gegevens hier in en exporteer je boekhouding direct naar e-Boekhouden.nl</a:t>
          </a:r>
          <a:endParaRPr lang="nl-NL" sz="1100"/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uw-website.n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info@e-Boekhouden.nl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excel-boekhouden.nl/exporteren-naar-e-boekhouden-n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autoPageBreaks="0"/>
  </sheetPr>
  <dimension ref="A1:J45"/>
  <sheetViews>
    <sheetView showGridLines="0" showRowColHeaders="0" showZeros="0" workbookViewId="0">
      <selection activeCell="C6" sqref="C6"/>
    </sheetView>
  </sheetViews>
  <sheetFormatPr defaultColWidth="9" defaultRowHeight="13" x14ac:dyDescent="0.3"/>
  <cols>
    <col min="1" max="1" width="3.8984375" customWidth="1"/>
    <col min="2" max="2" width="18.8984375" customWidth="1"/>
    <col min="3" max="3" width="35.09765625" customWidth="1"/>
    <col min="10" max="10" width="30.8984375" customWidth="1"/>
  </cols>
  <sheetData>
    <row r="1" spans="1:10" ht="23.5" x14ac:dyDescent="0.55000000000000004">
      <c r="A1" s="14"/>
      <c r="B1" s="20" t="s">
        <v>186</v>
      </c>
      <c r="C1" s="14"/>
      <c r="D1" s="14"/>
      <c r="E1" s="14"/>
      <c r="F1" s="14"/>
      <c r="G1" s="14"/>
      <c r="H1" s="14"/>
      <c r="I1" s="14"/>
      <c r="J1" s="14"/>
    </row>
    <row r="2" spans="1:10" x14ac:dyDescent="0.3">
      <c r="A2" s="14"/>
      <c r="B2" s="12" t="s">
        <v>187</v>
      </c>
      <c r="C2" s="14"/>
      <c r="D2" s="14"/>
      <c r="E2" s="14"/>
      <c r="F2" s="14"/>
      <c r="G2" s="14"/>
      <c r="H2" s="14"/>
      <c r="I2" s="14"/>
      <c r="J2" s="14"/>
    </row>
    <row r="3" spans="1:10" x14ac:dyDescent="0.3">
      <c r="A3" s="14"/>
      <c r="B3" s="15"/>
      <c r="C3" s="14"/>
      <c r="D3" s="14"/>
      <c r="E3" s="14"/>
      <c r="F3" s="14"/>
      <c r="G3" s="14"/>
      <c r="H3" s="14"/>
      <c r="I3" s="14"/>
      <c r="J3" s="14"/>
    </row>
    <row r="5" spans="1:10" ht="15.5" x14ac:dyDescent="0.35">
      <c r="B5" s="16" t="s">
        <v>82</v>
      </c>
      <c r="C5" s="88">
        <v>2026</v>
      </c>
    </row>
    <row r="6" spans="1:10" ht="15.5" x14ac:dyDescent="0.35">
      <c r="B6" s="16" t="s">
        <v>73</v>
      </c>
      <c r="C6" s="88" t="s">
        <v>191</v>
      </c>
      <c r="F6" s="4"/>
    </row>
    <row r="7" spans="1:10" ht="15.5" x14ac:dyDescent="0.35">
      <c r="B7" s="36" t="s">
        <v>74</v>
      </c>
      <c r="C7" s="89" t="s">
        <v>192</v>
      </c>
    </row>
    <row r="8" spans="1:10" ht="15.5" x14ac:dyDescent="0.35">
      <c r="B8" s="16"/>
      <c r="C8" s="17"/>
    </row>
    <row r="9" spans="1:10" ht="15.5" x14ac:dyDescent="0.35">
      <c r="B9" s="16" t="s">
        <v>75</v>
      </c>
      <c r="C9" s="94" t="s">
        <v>193</v>
      </c>
      <c r="F9" s="4"/>
    </row>
    <row r="10" spans="1:10" ht="15.5" x14ac:dyDescent="0.35">
      <c r="B10" s="16" t="s">
        <v>76</v>
      </c>
      <c r="C10" s="94" t="s">
        <v>194</v>
      </c>
      <c r="F10" s="4"/>
    </row>
    <row r="11" spans="1:10" ht="15.5" x14ac:dyDescent="0.35">
      <c r="B11" s="16" t="s">
        <v>77</v>
      </c>
      <c r="C11" s="94" t="s">
        <v>195</v>
      </c>
    </row>
    <row r="12" spans="1:10" ht="15.5" x14ac:dyDescent="0.35">
      <c r="B12" s="16" t="s">
        <v>78</v>
      </c>
      <c r="C12" s="94" t="s">
        <v>196</v>
      </c>
    </row>
    <row r="13" spans="1:10" ht="15.5" x14ac:dyDescent="0.35">
      <c r="B13" s="16" t="s">
        <v>79</v>
      </c>
      <c r="C13" s="94" t="s">
        <v>197</v>
      </c>
    </row>
    <row r="14" spans="1:10" ht="15.5" x14ac:dyDescent="0.35">
      <c r="B14" s="16" t="s">
        <v>80</v>
      </c>
      <c r="C14" s="94" t="s">
        <v>198</v>
      </c>
    </row>
    <row r="15" spans="1:10" ht="15.5" x14ac:dyDescent="0.35">
      <c r="B15" s="16" t="s">
        <v>81</v>
      </c>
      <c r="C15" s="95" t="s">
        <v>199</v>
      </c>
    </row>
    <row r="16" spans="1:10" ht="15.5" x14ac:dyDescent="0.35">
      <c r="B16" s="16"/>
      <c r="C16" s="83"/>
    </row>
    <row r="17" spans="2:3" ht="15.5" x14ac:dyDescent="0.35">
      <c r="B17" s="16" t="s">
        <v>116</v>
      </c>
      <c r="C17" s="87" t="s">
        <v>190</v>
      </c>
    </row>
    <row r="18" spans="2:3" ht="15.5" x14ac:dyDescent="0.35">
      <c r="B18" s="16"/>
      <c r="C18" s="84"/>
    </row>
    <row r="19" spans="2:3" ht="15.5" x14ac:dyDescent="0.35">
      <c r="B19" s="16" t="s">
        <v>176</v>
      </c>
      <c r="C19" s="87">
        <v>4088186</v>
      </c>
    </row>
    <row r="20" spans="2:3" ht="15.5" x14ac:dyDescent="0.35">
      <c r="B20" s="16" t="s">
        <v>175</v>
      </c>
      <c r="C20" s="87" t="s">
        <v>200</v>
      </c>
    </row>
    <row r="45" spans="2:2" x14ac:dyDescent="0.3">
      <c r="B45" t="s">
        <v>17</v>
      </c>
    </row>
  </sheetData>
  <sheetProtection sheet="1" objects="1" scenarios="1" selectLockedCells="1"/>
  <phoneticPr fontId="32" type="noConversion"/>
  <dataValidations xWindow="280" yWindow="506" count="1">
    <dataValidation type="list" allowBlank="1" showInputMessage="1" showErrorMessage="1" errorTitle="Kies een waarde uit de lijst" prompt="Vul hier in hoe vaak je btw-aangifte doet. Je ziet dan een tabblad met de cijfers over die periodes." sqref="C17" xr:uid="{00000000-0002-0000-0000-000000000000}">
      <formula1>"Jaar,Kwartaal,Maand"</formula1>
    </dataValidation>
  </dataValidations>
  <hyperlinks>
    <hyperlink ref="C14" r:id="rId1" display="www.uw-website.nl" xr:uid="{00000000-0004-0000-0000-000000000000}"/>
  </hyperlinks>
  <pageMargins left="0.7" right="0.7" top="0.75" bottom="0.75" header="0.3" footer="0.3"/>
  <pageSetup paperSize="9" orientation="portrait" horizontalDpi="4294967295" verticalDpi="4294967295" r:id="rId2"/>
  <headerFooter>
    <oddFooter>&amp;C_x000D_&amp;1#&amp;"Calibri"&amp;10&amp;K000000 Knab Internal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1">
    <pageSetUpPr autoPageBreaks="0"/>
  </sheetPr>
  <dimension ref="B1:P46"/>
  <sheetViews>
    <sheetView showGridLines="0" showRowColHeaders="0" showZeros="0" workbookViewId="0">
      <selection activeCell="B22" sqref="B17:E22"/>
    </sheetView>
  </sheetViews>
  <sheetFormatPr defaultColWidth="9" defaultRowHeight="12.5" x14ac:dyDescent="0.25"/>
  <cols>
    <col min="1" max="1" width="2.09765625" style="42" customWidth="1"/>
    <col min="2" max="2" width="14.3984375" style="42" customWidth="1"/>
    <col min="3" max="3" width="44.8984375" style="42" customWidth="1"/>
    <col min="4" max="4" width="14.3984375" style="42" customWidth="1"/>
    <col min="5" max="5" width="14" style="42" customWidth="1"/>
    <col min="6" max="6" width="17" style="42" customWidth="1"/>
    <col min="7" max="14" width="9" style="42"/>
    <col min="15" max="15" width="8.69921875" style="42" customWidth="1"/>
    <col min="16" max="16" width="64.296875" style="42" hidden="1" customWidth="1"/>
    <col min="17" max="16384" width="9" style="42"/>
  </cols>
  <sheetData>
    <row r="1" spans="2:16" ht="64.5" customHeight="1" x14ac:dyDescent="0.7">
      <c r="B1" s="56"/>
      <c r="D1" s="220"/>
      <c r="E1" s="220"/>
      <c r="F1" s="220"/>
    </row>
    <row r="2" spans="2:16" ht="13" x14ac:dyDescent="0.3">
      <c r="B2" s="43"/>
      <c r="F2" s="52" t="str">
        <f>Basisinstellingen!C6</f>
        <v>De Natuurwaarnemer</v>
      </c>
    </row>
    <row r="3" spans="2:16" ht="13" x14ac:dyDescent="0.3">
      <c r="B3" s="44" t="s">
        <v>103</v>
      </c>
      <c r="F3" s="52" t="str">
        <f>Basisinstellingen!C9</f>
        <v>De Trippen 64</v>
      </c>
    </row>
    <row r="4" spans="2:16" ht="13" x14ac:dyDescent="0.3">
      <c r="B4" s="40" t="s">
        <v>201</v>
      </c>
      <c r="D4" s="45"/>
      <c r="E4" s="45"/>
      <c r="F4" s="52" t="str">
        <f>Basisinstellingen!C10</f>
        <v>7831 BS</v>
      </c>
    </row>
    <row r="5" spans="2:16" ht="13" x14ac:dyDescent="0.3">
      <c r="B5" s="41" t="str">
        <f>IF(ISERROR(VLOOKUP($B$4,Relaties!$C$6:$F$255,2,FALSE)),"",VLOOKUP($B$4,Relaties!$C$6:$F$255,2,FALSE))</f>
        <v>Curiestraat 1</v>
      </c>
      <c r="D5" s="45"/>
      <c r="E5" s="45"/>
      <c r="F5" s="52" t="str">
        <f>Basisinstellingen!C11</f>
        <v>Nieuw Weerdinge</v>
      </c>
      <c r="P5" s="126" t="str">
        <f>CONCATENATE("KVK: ",Basisinstellingen!$C$19," | IBAN: ",Basisinstellingen!$C$20," t.n.v. ",Basisinstellingen!C6)</f>
        <v>KVK: 4088186 | IBAN: NL46 KNAB 0776 3468 22 t.n.v. De Natuurwaarnemer</v>
      </c>
    </row>
    <row r="6" spans="2:16" x14ac:dyDescent="0.25">
      <c r="B6" s="41" t="str">
        <f>IF(ISERROR(CONCATENATE((VLOOKUP($B$4,Relaties!$C$6:$F$255,3,FALSE))," ",(VLOOKUP($B$4,Relaties!$C$6:$F$255,4,FALSE)))),"",(CONCATENATE((VLOOKUP($B$4,Relaties!$C$6:$F$255,3,FALSE))," ",(VLOOKUP($B$4,Relaties!$C$6:$F$255,4,FALSE)))))</f>
        <v>7825 GC  Emmen</v>
      </c>
      <c r="F6" s="52" t="str">
        <f>Basisinstellingen!C12</f>
        <v>0613779998</v>
      </c>
    </row>
    <row r="7" spans="2:16" x14ac:dyDescent="0.25">
      <c r="B7" s="41"/>
      <c r="F7" s="52" t="str">
        <f>Basisinstellingen!C13</f>
        <v>info@natuurwaarnemer.nl</v>
      </c>
    </row>
    <row r="8" spans="2:16" ht="13" x14ac:dyDescent="0.25">
      <c r="B8" s="41"/>
      <c r="D8" s="46"/>
      <c r="E8" s="46"/>
      <c r="F8" s="52" t="str">
        <f>Basisinstellingen!C14</f>
        <v>www.natuurwaarnemer.nl</v>
      </c>
    </row>
    <row r="9" spans="2:16" x14ac:dyDescent="0.25">
      <c r="B9" s="40"/>
      <c r="F9" s="52" t="str">
        <f>Basisinstellingen!C15</f>
        <v>NL001402083B56</v>
      </c>
    </row>
    <row r="10" spans="2:16" x14ac:dyDescent="0.25">
      <c r="B10" s="40"/>
    </row>
    <row r="11" spans="2:16" ht="20" x14ac:dyDescent="0.4">
      <c r="B11" s="221" t="s">
        <v>92</v>
      </c>
      <c r="C11" s="221"/>
      <c r="D11" s="221"/>
      <c r="E11" s="221"/>
      <c r="F11" s="221"/>
      <c r="M11" s="222"/>
      <c r="N11" s="222"/>
      <c r="O11" s="222"/>
    </row>
    <row r="12" spans="2:16" x14ac:dyDescent="0.25">
      <c r="B12" s="136" t="s">
        <v>1</v>
      </c>
      <c r="C12" s="69">
        <v>46036</v>
      </c>
    </row>
    <row r="13" spans="2:16" x14ac:dyDescent="0.25">
      <c r="B13" s="137" t="s">
        <v>0</v>
      </c>
      <c r="C13" s="68" t="s">
        <v>275</v>
      </c>
    </row>
    <row r="16" spans="2:16" s="49" customFormat="1" ht="13" x14ac:dyDescent="0.3">
      <c r="B16" s="47" t="s">
        <v>104</v>
      </c>
      <c r="C16" s="47" t="s">
        <v>105</v>
      </c>
      <c r="D16" s="48" t="s">
        <v>106</v>
      </c>
      <c r="E16" s="107" t="s">
        <v>98</v>
      </c>
      <c r="F16" s="107" t="s">
        <v>89</v>
      </c>
    </row>
    <row r="17" spans="2:9" s="49" customFormat="1" x14ac:dyDescent="0.3">
      <c r="B17" s="130">
        <v>0</v>
      </c>
      <c r="C17" s="53" t="s">
        <v>276</v>
      </c>
      <c r="D17" s="121"/>
      <c r="E17" s="108"/>
      <c r="F17" s="115" t="str">
        <f>IFERROR(IF(D17="","",ROUND(PRODUCT(B17,D17),2)),0)</f>
        <v/>
      </c>
    </row>
    <row r="18" spans="2:9" s="49" customFormat="1" x14ac:dyDescent="0.3">
      <c r="B18" s="131">
        <v>6</v>
      </c>
      <c r="C18" s="54" t="s">
        <v>277</v>
      </c>
      <c r="D18" s="120">
        <v>14.5</v>
      </c>
      <c r="E18" s="109">
        <v>0.21</v>
      </c>
      <c r="F18" s="116">
        <f t="shared" ref="F18:F34" si="0">IFERROR(IF(D18="","",ROUND(PRODUCT(B18,D18),2)),0)</f>
        <v>87</v>
      </c>
    </row>
    <row r="19" spans="2:9" s="49" customFormat="1" x14ac:dyDescent="0.3">
      <c r="B19" s="132">
        <v>2</v>
      </c>
      <c r="C19" s="54" t="s">
        <v>278</v>
      </c>
      <c r="D19" s="120">
        <v>6.5</v>
      </c>
      <c r="E19" s="109">
        <v>0.21</v>
      </c>
      <c r="F19" s="116">
        <f t="shared" si="0"/>
        <v>13</v>
      </c>
      <c r="I19" s="50"/>
    </row>
    <row r="20" spans="2:9" s="49" customFormat="1" x14ac:dyDescent="0.3">
      <c r="B20" s="132"/>
      <c r="C20" s="54" t="s">
        <v>279</v>
      </c>
      <c r="D20" s="120"/>
      <c r="E20" s="109"/>
      <c r="F20" s="116" t="str">
        <f t="shared" si="0"/>
        <v/>
      </c>
    </row>
    <row r="21" spans="2:9" s="49" customFormat="1" x14ac:dyDescent="0.3">
      <c r="B21" s="132"/>
      <c r="C21" s="54"/>
      <c r="D21" s="120"/>
      <c r="E21" s="109"/>
      <c r="F21" s="116" t="str">
        <f t="shared" si="0"/>
        <v/>
      </c>
    </row>
    <row r="22" spans="2:9" s="49" customFormat="1" x14ac:dyDescent="0.3">
      <c r="B22" s="132"/>
      <c r="C22" s="54"/>
      <c r="D22" s="120"/>
      <c r="E22" s="109"/>
      <c r="F22" s="116" t="str">
        <f t="shared" si="0"/>
        <v/>
      </c>
    </row>
    <row r="23" spans="2:9" s="49" customFormat="1" x14ac:dyDescent="0.3">
      <c r="B23" s="132"/>
      <c r="C23" s="54"/>
      <c r="D23" s="120"/>
      <c r="E23" s="109"/>
      <c r="F23" s="116" t="str">
        <f t="shared" si="0"/>
        <v/>
      </c>
    </row>
    <row r="24" spans="2:9" s="49" customFormat="1" x14ac:dyDescent="0.3">
      <c r="B24" s="132"/>
      <c r="C24" s="54"/>
      <c r="D24" s="120"/>
      <c r="E24" s="109"/>
      <c r="F24" s="116" t="str">
        <f t="shared" si="0"/>
        <v/>
      </c>
    </row>
    <row r="25" spans="2:9" s="49" customFormat="1" x14ac:dyDescent="0.3">
      <c r="B25" s="132"/>
      <c r="C25" s="54"/>
      <c r="D25" s="120"/>
      <c r="E25" s="109"/>
      <c r="F25" s="116" t="str">
        <f t="shared" si="0"/>
        <v/>
      </c>
    </row>
    <row r="26" spans="2:9" s="49" customFormat="1" x14ac:dyDescent="0.3">
      <c r="B26" s="138"/>
      <c r="C26" s="54"/>
      <c r="D26" s="120"/>
      <c r="E26" s="109"/>
      <c r="F26" s="116" t="str">
        <f t="shared" si="0"/>
        <v/>
      </c>
    </row>
    <row r="27" spans="2:9" s="49" customFormat="1" x14ac:dyDescent="0.3">
      <c r="B27" s="132"/>
      <c r="C27" s="54"/>
      <c r="D27" s="120"/>
      <c r="E27" s="109"/>
      <c r="F27" s="116" t="str">
        <f t="shared" si="0"/>
        <v/>
      </c>
    </row>
    <row r="28" spans="2:9" s="49" customFormat="1" x14ac:dyDescent="0.3">
      <c r="B28" s="132"/>
      <c r="C28" s="54"/>
      <c r="D28" s="120"/>
      <c r="E28" s="109"/>
      <c r="F28" s="116" t="str">
        <f t="shared" si="0"/>
        <v/>
      </c>
    </row>
    <row r="29" spans="2:9" s="49" customFormat="1" x14ac:dyDescent="0.3">
      <c r="B29" s="132"/>
      <c r="C29" s="54"/>
      <c r="D29" s="120"/>
      <c r="E29" s="109"/>
      <c r="F29" s="116" t="str">
        <f t="shared" si="0"/>
        <v/>
      </c>
    </row>
    <row r="30" spans="2:9" s="49" customFormat="1" x14ac:dyDescent="0.3">
      <c r="B30" s="132"/>
      <c r="C30" s="54"/>
      <c r="D30" s="120"/>
      <c r="E30" s="109"/>
      <c r="F30" s="116" t="str">
        <f t="shared" si="0"/>
        <v/>
      </c>
    </row>
    <row r="31" spans="2:9" s="49" customFormat="1" x14ac:dyDescent="0.3">
      <c r="B31" s="132"/>
      <c r="C31" s="54"/>
      <c r="D31" s="120"/>
      <c r="E31" s="109"/>
      <c r="F31" s="116" t="str">
        <f t="shared" si="0"/>
        <v/>
      </c>
    </row>
    <row r="32" spans="2:9" s="49" customFormat="1" x14ac:dyDescent="0.3">
      <c r="B32" s="132"/>
      <c r="C32" s="54"/>
      <c r="D32" s="120"/>
      <c r="E32" s="109"/>
      <c r="F32" s="116" t="str">
        <f t="shared" si="0"/>
        <v/>
      </c>
    </row>
    <row r="33" spans="2:6" s="49" customFormat="1" x14ac:dyDescent="0.3">
      <c r="B33" s="132"/>
      <c r="C33" s="54"/>
      <c r="D33" s="120"/>
      <c r="E33" s="109"/>
      <c r="F33" s="116" t="str">
        <f t="shared" si="0"/>
        <v/>
      </c>
    </row>
    <row r="34" spans="2:6" s="49" customFormat="1" x14ac:dyDescent="0.3">
      <c r="B34" s="133"/>
      <c r="C34" s="55"/>
      <c r="D34" s="122"/>
      <c r="E34" s="110"/>
      <c r="F34" s="116" t="str">
        <f t="shared" si="0"/>
        <v/>
      </c>
    </row>
    <row r="35" spans="2:6" s="49" customFormat="1" x14ac:dyDescent="0.3">
      <c r="B35" s="70"/>
      <c r="C35" s="71"/>
      <c r="D35" s="72" t="s">
        <v>107</v>
      </c>
      <c r="E35" s="72"/>
      <c r="F35" s="118">
        <f>SUM(F17:F34)</f>
        <v>100</v>
      </c>
    </row>
    <row r="36" spans="2:6" s="49" customFormat="1" x14ac:dyDescent="0.3">
      <c r="B36" s="70"/>
      <c r="C36" s="71"/>
      <c r="D36" s="72" t="s">
        <v>172</v>
      </c>
      <c r="E36" s="72"/>
      <c r="F36" s="117">
        <f>(SUMIF(E17:E34,0.21,F17:F34))*0.21</f>
        <v>21</v>
      </c>
    </row>
    <row r="37" spans="2:6" s="49" customFormat="1" x14ac:dyDescent="0.3">
      <c r="B37" s="70"/>
      <c r="C37" s="71"/>
      <c r="D37" s="72" t="s">
        <v>173</v>
      </c>
      <c r="E37" s="72"/>
      <c r="F37" s="119">
        <f>(SUMIF(E17:E34,0.09,F17:F34))*0.09</f>
        <v>0</v>
      </c>
    </row>
    <row r="38" spans="2:6" s="49" customFormat="1" x14ac:dyDescent="0.3">
      <c r="B38" s="70"/>
      <c r="C38" s="71"/>
      <c r="D38" s="72"/>
      <c r="E38" s="72"/>
      <c r="F38" s="117"/>
    </row>
    <row r="39" spans="2:6" s="49" customFormat="1" ht="13" x14ac:dyDescent="0.3">
      <c r="B39" s="71"/>
      <c r="C39" s="71"/>
      <c r="D39" s="73" t="s">
        <v>102</v>
      </c>
      <c r="E39" s="73"/>
      <c r="F39" s="118">
        <f>SUM(F35:F38)</f>
        <v>121</v>
      </c>
    </row>
    <row r="42" spans="2:6" ht="13.5" customHeight="1" x14ac:dyDescent="0.25">
      <c r="B42" s="40"/>
      <c r="C42" s="40"/>
      <c r="D42" s="40"/>
      <c r="E42" s="40"/>
      <c r="F42" s="40"/>
    </row>
    <row r="43" spans="2:6" x14ac:dyDescent="0.25">
      <c r="B43" s="40"/>
    </row>
    <row r="46" spans="2:6" ht="13" x14ac:dyDescent="0.3">
      <c r="B46" s="51"/>
    </row>
  </sheetData>
  <sheetProtection sheet="1" objects="1" scenarios="1" selectLockedCells="1"/>
  <protectedRanges>
    <protectedRange sqref="B1" name="Bereik1"/>
  </protectedRanges>
  <mergeCells count="3">
    <mergeCell ref="D1:F1"/>
    <mergeCell ref="B11:F11"/>
    <mergeCell ref="M11:O11"/>
  </mergeCells>
  <phoneticPr fontId="32" type="noConversion"/>
  <dataValidations count="2">
    <dataValidation showInputMessage="1" showErrorMessage="1" sqref="B5" xr:uid="{00000000-0002-0000-0100-000000000000}"/>
    <dataValidation type="list" allowBlank="1" showInputMessage="1" showErrorMessage="1" sqref="E17:E34" xr:uid="{00000000-0002-0000-0100-000001000000}">
      <formula1>btwtarieven</formula1>
    </dataValidation>
  </dataValidations>
  <printOptions horizontalCentered="1"/>
  <pageMargins left="0.1" right="0.1" top="0.3" bottom="0.1" header="0.1" footer="0.1"/>
  <pageSetup paperSize="9" orientation="portrait" horizontalDpi="4294967295" verticalDpi="4294967295" r:id="rId1"/>
  <headerFooter>
    <oddFooter>&amp;C_x000D_&amp;1#&amp;"Calibri"&amp;10&amp;K000000 Knab Internal</oddFoot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errorTitle="Kies een relatie" promptTitle="Kies een relatie" xr:uid="{00000000-0002-0000-0100-000002000000}">
          <x14:formula1>
            <xm:f>OFFSET(Relaties!$C$5,1,0,COUNTA(Relaties!$C:$C)-1,1)</xm:f>
          </x14:formula1>
          <xm:sqref>B4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"/>
  <dimension ref="A1:Q1048576"/>
  <sheetViews>
    <sheetView showGridLines="0" showRowColHeaders="0" showZeros="0" workbookViewId="0">
      <selection activeCell="B14" sqref="B14"/>
    </sheetView>
  </sheetViews>
  <sheetFormatPr defaultColWidth="9" defaultRowHeight="13" x14ac:dyDescent="0.3"/>
  <cols>
    <col min="1" max="1" width="3.8984375" customWidth="1"/>
    <col min="2" max="2" width="11.8984375" style="2" customWidth="1"/>
    <col min="3" max="3" width="17.09765625" style="2" bestFit="1" customWidth="1"/>
    <col min="4" max="4" width="15.8984375" style="1" customWidth="1"/>
    <col min="5" max="5" width="25.8984375" style="1" customWidth="1"/>
    <col min="6" max="6" width="18.8984375" style="1" customWidth="1"/>
    <col min="7" max="7" width="14.8984375" style="13" customWidth="1"/>
    <col min="8" max="8" width="8.8984375" style="13" customWidth="1"/>
    <col min="9" max="9" width="13.8984375" style="3" customWidth="1"/>
    <col min="10" max="10" width="13.8984375" customWidth="1"/>
    <col min="11" max="11" width="21.8984375" style="3" customWidth="1"/>
    <col min="12" max="12" width="22.09765625" style="3" customWidth="1"/>
    <col min="13" max="13" width="6.3984375" style="3" hidden="1" customWidth="1"/>
    <col min="14" max="14" width="10.296875" hidden="1" customWidth="1"/>
    <col min="15" max="15" width="8.3984375" style="8" hidden="1" customWidth="1"/>
    <col min="16" max="16" width="19.09765625" customWidth="1"/>
  </cols>
  <sheetData>
    <row r="1" spans="1:16" ht="23.5" x14ac:dyDescent="0.55000000000000004">
      <c r="A1" s="12"/>
      <c r="B1" s="19" t="s">
        <v>97</v>
      </c>
      <c r="C1" s="26"/>
      <c r="D1" s="18"/>
      <c r="E1" s="18"/>
      <c r="F1" s="18"/>
      <c r="G1" s="25">
        <f>SUM(G6:G500)</f>
        <v>945.90000000000009</v>
      </c>
      <c r="H1" s="25"/>
      <c r="I1" s="25"/>
      <c r="J1" s="12"/>
      <c r="K1" s="35">
        <f>Basisinstellingen!C5</f>
        <v>2026</v>
      </c>
      <c r="L1" s="97"/>
      <c r="M1" s="97"/>
    </row>
    <row r="2" spans="1:16" x14ac:dyDescent="0.3">
      <c r="A2" s="12"/>
      <c r="B2" s="26"/>
      <c r="C2" s="26"/>
      <c r="D2" s="24"/>
      <c r="E2" s="24"/>
      <c r="F2" s="24"/>
      <c r="G2" s="27"/>
      <c r="H2" s="27"/>
      <c r="I2" s="25"/>
      <c r="J2" s="12"/>
      <c r="K2" s="25"/>
      <c r="L2" s="98"/>
      <c r="M2" s="98"/>
    </row>
    <row r="3" spans="1:16" x14ac:dyDescent="0.3">
      <c r="A3" s="12"/>
      <c r="B3" s="26"/>
      <c r="C3" s="26"/>
      <c r="D3" s="24"/>
      <c r="E3" s="24"/>
      <c r="F3" s="24"/>
      <c r="G3" s="27"/>
      <c r="H3" s="27"/>
      <c r="I3" s="25"/>
      <c r="J3" s="12"/>
      <c r="K3" s="25"/>
      <c r="L3" s="98"/>
      <c r="M3" s="98"/>
    </row>
    <row r="4" spans="1:16" ht="12.75" customHeight="1" x14ac:dyDescent="0.3"/>
    <row r="5" spans="1:16" s="5" customFormat="1" ht="12.75" customHeight="1" x14ac:dyDescent="0.3">
      <c r="B5" s="28" t="s">
        <v>1</v>
      </c>
      <c r="C5" s="28" t="s">
        <v>91</v>
      </c>
      <c r="D5" s="28" t="s">
        <v>0</v>
      </c>
      <c r="E5" s="28" t="s">
        <v>15</v>
      </c>
      <c r="F5" s="28" t="s">
        <v>174</v>
      </c>
      <c r="G5" s="190" t="s">
        <v>99</v>
      </c>
      <c r="H5" s="28" t="s">
        <v>98</v>
      </c>
      <c r="I5" s="28" t="s">
        <v>100</v>
      </c>
      <c r="J5" s="28" t="s">
        <v>3</v>
      </c>
      <c r="K5" s="90" t="s">
        <v>19</v>
      </c>
      <c r="L5" s="127" t="s">
        <v>90</v>
      </c>
      <c r="M5" s="99"/>
      <c r="N5"/>
      <c r="O5" s="96" t="s">
        <v>90</v>
      </c>
    </row>
    <row r="6" spans="1:16" ht="12.75" customHeight="1" x14ac:dyDescent="0.3">
      <c r="B6" s="74"/>
      <c r="C6" s="74"/>
      <c r="D6" s="123"/>
      <c r="E6" s="125"/>
      <c r="F6" s="125"/>
      <c r="G6" s="178"/>
      <c r="H6" s="124"/>
      <c r="I6" s="140"/>
      <c r="J6" s="76"/>
      <c r="K6" s="77"/>
      <c r="L6" s="128" t="str">
        <f>IF(AND(OR($B6="",$C6="",$G6="",$H6="",$J6="",$K6="",AND($C6="Factuur",$J6="Openstaand",$F6="")),NOT(AND($B6="",$C6="",$G6="",$H6="",$J6="",$K6=""))),"Er ontbreken gegevens",IF(AND(NOT(ISBLANK($B6)),$O6&lt;&gt;$K$1),IF(AND($O6&lt;$K$1,$J6="Openstaand"),"Op beginbalans","Datum buiten boekjaar"),""))</f>
        <v/>
      </c>
      <c r="M6" s="111"/>
      <c r="N6" t="str">
        <f>IFERROR(IF($B6="","",MONTH($B$6:$B$500)),0)</f>
        <v/>
      </c>
      <c r="O6" s="5" t="str">
        <f>IFERROR(IF($B6="","",YEAR($B$6:$B$500)),0)</f>
        <v/>
      </c>
      <c r="P6" s="5"/>
    </row>
    <row r="7" spans="1:16" ht="12.75" customHeight="1" x14ac:dyDescent="0.3">
      <c r="B7" s="194">
        <v>45784</v>
      </c>
      <c r="C7" s="194" t="s">
        <v>92</v>
      </c>
      <c r="D7" s="195" t="s">
        <v>209</v>
      </c>
      <c r="E7" s="196" t="s">
        <v>207</v>
      </c>
      <c r="F7" s="196" t="s">
        <v>201</v>
      </c>
      <c r="G7" s="197">
        <v>250</v>
      </c>
      <c r="H7" s="198">
        <v>0.21</v>
      </c>
      <c r="I7" s="199">
        <v>52.5</v>
      </c>
      <c r="J7" s="200" t="s">
        <v>95</v>
      </c>
      <c r="K7" s="201" t="s">
        <v>208</v>
      </c>
      <c r="L7" s="128" t="str">
        <f t="shared" ref="L7:L70" si="0">IF(AND(OR($B7="",$C7="",$G7="",$H7="",$J7="",$K7="",AND($C7="Factuur",$J7="Openstaand",$F7="")),NOT(AND($B7="",$C7="",$G7="",$H7="",$J7="",$K7=""))),"Er ontbreken gegevens",IF(AND(NOT(ISBLANK($B7)),$O7&lt;&gt;$K$1),IF(AND($O7&lt;$K$1,$J7="Openstaand"),"Op beginbalans","Datum buiten boekjaar"),""))</f>
        <v>Datum buiten boekjaar</v>
      </c>
      <c r="M7" s="111"/>
      <c r="N7">
        <f t="shared" ref="N7:N70" si="1">IFERROR(IF($B7="","",MONTH($B$6:$B$500)),0)</f>
        <v>5</v>
      </c>
      <c r="O7" s="5">
        <f t="shared" ref="O7:O70" si="2">IFERROR(IF($B7="","",YEAR($B$6:$B$500)),0)</f>
        <v>2025</v>
      </c>
      <c r="P7" s="5"/>
    </row>
    <row r="8" spans="1:16" ht="12.75" customHeight="1" x14ac:dyDescent="0.3">
      <c r="B8" s="202">
        <v>45831</v>
      </c>
      <c r="C8" s="202" t="s">
        <v>92</v>
      </c>
      <c r="D8" s="203" t="s">
        <v>210</v>
      </c>
      <c r="E8" s="204" t="s">
        <v>211</v>
      </c>
      <c r="F8" s="204" t="s">
        <v>201</v>
      </c>
      <c r="G8" s="205">
        <v>250</v>
      </c>
      <c r="H8" s="206">
        <v>0.21</v>
      </c>
      <c r="I8" s="207">
        <v>52.5</v>
      </c>
      <c r="J8" s="208" t="s">
        <v>95</v>
      </c>
      <c r="K8" s="209" t="s">
        <v>208</v>
      </c>
      <c r="L8" s="128" t="str">
        <f t="shared" si="0"/>
        <v>Datum buiten boekjaar</v>
      </c>
      <c r="M8" s="111"/>
      <c r="N8">
        <f t="shared" si="1"/>
        <v>6</v>
      </c>
      <c r="O8" s="5">
        <f t="shared" si="2"/>
        <v>2025</v>
      </c>
      <c r="P8" s="5"/>
    </row>
    <row r="9" spans="1:16" ht="12.75" customHeight="1" x14ac:dyDescent="0.3">
      <c r="B9" s="202">
        <v>45922</v>
      </c>
      <c r="C9" s="202" t="s">
        <v>92</v>
      </c>
      <c r="D9" s="203">
        <v>1486</v>
      </c>
      <c r="E9" s="204" t="s">
        <v>265</v>
      </c>
      <c r="F9" s="125" t="s">
        <v>264</v>
      </c>
      <c r="G9" s="205">
        <v>95.95</v>
      </c>
      <c r="H9" s="206">
        <v>0.21</v>
      </c>
      <c r="I9" s="207">
        <v>20.149999999999999</v>
      </c>
      <c r="J9" s="208" t="s">
        <v>95</v>
      </c>
      <c r="K9" s="209" t="s">
        <v>266</v>
      </c>
      <c r="L9" s="128" t="str">
        <f t="shared" si="0"/>
        <v>Datum buiten boekjaar</v>
      </c>
      <c r="M9" s="111"/>
      <c r="N9">
        <f t="shared" si="1"/>
        <v>9</v>
      </c>
      <c r="O9" s="5">
        <f t="shared" si="2"/>
        <v>2025</v>
      </c>
      <c r="P9" s="5"/>
    </row>
    <row r="10" spans="1:16" ht="12.75" customHeight="1" x14ac:dyDescent="0.3">
      <c r="B10" s="202">
        <v>45939</v>
      </c>
      <c r="C10" s="202" t="s">
        <v>92</v>
      </c>
      <c r="D10" s="203">
        <v>1489</v>
      </c>
      <c r="E10" s="204" t="s">
        <v>267</v>
      </c>
      <c r="F10" s="196" t="s">
        <v>264</v>
      </c>
      <c r="G10" s="205">
        <v>89.95</v>
      </c>
      <c r="H10" s="206">
        <v>0.21</v>
      </c>
      <c r="I10" s="207">
        <v>18.89</v>
      </c>
      <c r="J10" s="208" t="s">
        <v>95</v>
      </c>
      <c r="K10" s="209" t="s">
        <v>208</v>
      </c>
      <c r="L10" s="128" t="str">
        <f t="shared" si="0"/>
        <v>Datum buiten boekjaar</v>
      </c>
      <c r="M10" s="111"/>
      <c r="N10">
        <f t="shared" si="1"/>
        <v>10</v>
      </c>
      <c r="O10" s="5">
        <f t="shared" si="2"/>
        <v>2025</v>
      </c>
      <c r="P10" s="5"/>
    </row>
    <row r="11" spans="1:16" ht="12.75" customHeight="1" x14ac:dyDescent="0.3">
      <c r="B11" s="202">
        <v>46011</v>
      </c>
      <c r="C11" s="202" t="s">
        <v>92</v>
      </c>
      <c r="D11" s="203" t="s">
        <v>268</v>
      </c>
      <c r="E11" s="204" t="s">
        <v>270</v>
      </c>
      <c r="F11" s="204" t="s">
        <v>264</v>
      </c>
      <c r="G11" s="205">
        <v>160</v>
      </c>
      <c r="H11" s="206">
        <v>0.21</v>
      </c>
      <c r="I11" s="207">
        <v>33.6</v>
      </c>
      <c r="J11" s="208" t="s">
        <v>96</v>
      </c>
      <c r="K11" s="209" t="s">
        <v>208</v>
      </c>
      <c r="L11" s="128" t="str">
        <f t="shared" si="0"/>
        <v>Datum buiten boekjaar</v>
      </c>
      <c r="M11" s="111"/>
      <c r="N11">
        <f t="shared" si="1"/>
        <v>12</v>
      </c>
      <c r="O11" s="5">
        <f t="shared" si="2"/>
        <v>2025</v>
      </c>
      <c r="P11" s="5"/>
    </row>
    <row r="12" spans="1:16" ht="12.75" customHeight="1" x14ac:dyDescent="0.3">
      <c r="B12" s="202">
        <v>46036</v>
      </c>
      <c r="C12" s="202" t="s">
        <v>92</v>
      </c>
      <c r="D12" s="203" t="s">
        <v>275</v>
      </c>
      <c r="E12" s="210" t="s">
        <v>280</v>
      </c>
      <c r="F12" s="125" t="s">
        <v>201</v>
      </c>
      <c r="G12" s="211">
        <v>100</v>
      </c>
      <c r="H12" s="206">
        <v>0.21</v>
      </c>
      <c r="I12" s="207">
        <v>21</v>
      </c>
      <c r="J12" s="76" t="s">
        <v>16</v>
      </c>
      <c r="K12" s="209" t="s">
        <v>208</v>
      </c>
      <c r="L12" s="128" t="str">
        <f t="shared" si="0"/>
        <v/>
      </c>
      <c r="M12" s="111"/>
      <c r="N12">
        <f t="shared" si="1"/>
        <v>1</v>
      </c>
      <c r="O12" s="5">
        <f t="shared" si="2"/>
        <v>2026</v>
      </c>
      <c r="P12" s="5"/>
    </row>
    <row r="13" spans="1:16" ht="12.75" customHeight="1" x14ac:dyDescent="0.3">
      <c r="B13" s="202"/>
      <c r="C13" s="202"/>
      <c r="D13" s="203"/>
      <c r="E13" s="210"/>
      <c r="F13" s="196"/>
      <c r="G13" s="211"/>
      <c r="H13" s="206"/>
      <c r="I13" s="207"/>
      <c r="J13" s="200"/>
      <c r="K13" s="209"/>
      <c r="L13" s="128" t="str">
        <f t="shared" si="0"/>
        <v/>
      </c>
      <c r="M13" s="111"/>
      <c r="N13" t="str">
        <f t="shared" si="1"/>
        <v/>
      </c>
      <c r="O13" s="5" t="str">
        <f t="shared" si="2"/>
        <v/>
      </c>
      <c r="P13" s="5"/>
    </row>
    <row r="14" spans="1:16" ht="12.75" customHeight="1" x14ac:dyDescent="0.3">
      <c r="B14" s="202"/>
      <c r="C14" s="202"/>
      <c r="D14" s="203"/>
      <c r="E14" s="210"/>
      <c r="F14" s="204"/>
      <c r="G14" s="211"/>
      <c r="H14" s="206"/>
      <c r="I14" s="207"/>
      <c r="J14" s="208"/>
      <c r="K14" s="209"/>
      <c r="L14" s="128" t="str">
        <f t="shared" si="0"/>
        <v/>
      </c>
      <c r="M14" s="111"/>
      <c r="N14" t="str">
        <f t="shared" si="1"/>
        <v/>
      </c>
      <c r="O14" s="5" t="str">
        <f t="shared" si="2"/>
        <v/>
      </c>
      <c r="P14" s="5"/>
    </row>
    <row r="15" spans="1:16" ht="12.75" customHeight="1" x14ac:dyDescent="0.3">
      <c r="B15" s="202"/>
      <c r="C15" s="202"/>
      <c r="D15" s="203"/>
      <c r="E15" s="210"/>
      <c r="F15" s="125"/>
      <c r="G15" s="211"/>
      <c r="H15" s="206"/>
      <c r="I15" s="207"/>
      <c r="J15" s="208"/>
      <c r="K15" s="209"/>
      <c r="L15" s="128" t="str">
        <f t="shared" si="0"/>
        <v/>
      </c>
      <c r="M15" s="111"/>
      <c r="N15" t="str">
        <f t="shared" si="1"/>
        <v/>
      </c>
      <c r="O15" s="5" t="str">
        <f t="shared" si="2"/>
        <v/>
      </c>
      <c r="P15" s="5"/>
    </row>
    <row r="16" spans="1:16" ht="12.75" customHeight="1" x14ac:dyDescent="0.3">
      <c r="B16" s="202"/>
      <c r="C16" s="202"/>
      <c r="D16" s="203"/>
      <c r="E16" s="210"/>
      <c r="F16" s="196"/>
      <c r="G16" s="211"/>
      <c r="H16" s="206"/>
      <c r="I16" s="207"/>
      <c r="J16" s="208"/>
      <c r="K16" s="209"/>
      <c r="L16" s="128" t="str">
        <f t="shared" si="0"/>
        <v/>
      </c>
      <c r="M16" s="111"/>
      <c r="N16" t="str">
        <f t="shared" si="1"/>
        <v/>
      </c>
      <c r="O16" s="5" t="str">
        <f t="shared" si="2"/>
        <v/>
      </c>
      <c r="P16" s="5"/>
    </row>
    <row r="17" spans="2:16" ht="12.75" customHeight="1" x14ac:dyDescent="0.3">
      <c r="B17" s="202"/>
      <c r="C17" s="202"/>
      <c r="D17" s="203"/>
      <c r="E17" s="210"/>
      <c r="F17" s="204"/>
      <c r="G17" s="211"/>
      <c r="H17" s="206"/>
      <c r="I17" s="207"/>
      <c r="J17" s="208"/>
      <c r="K17" s="209"/>
      <c r="L17" s="128" t="str">
        <f t="shared" si="0"/>
        <v/>
      </c>
      <c r="M17" s="111"/>
      <c r="N17" t="str">
        <f t="shared" si="1"/>
        <v/>
      </c>
      <c r="O17" s="5" t="str">
        <f t="shared" si="2"/>
        <v/>
      </c>
      <c r="P17" s="5"/>
    </row>
    <row r="18" spans="2:16" ht="12.75" customHeight="1" x14ac:dyDescent="0.3">
      <c r="B18" s="202"/>
      <c r="C18" s="202"/>
      <c r="D18" s="203"/>
      <c r="E18" s="210"/>
      <c r="F18" s="125"/>
      <c r="G18" s="211"/>
      <c r="H18" s="206"/>
      <c r="I18" s="207"/>
      <c r="J18" s="208"/>
      <c r="K18" s="209"/>
      <c r="L18" s="128" t="str">
        <f t="shared" si="0"/>
        <v/>
      </c>
      <c r="M18" s="111"/>
      <c r="N18" t="str">
        <f t="shared" si="1"/>
        <v/>
      </c>
      <c r="O18" s="5" t="str">
        <f t="shared" si="2"/>
        <v/>
      </c>
    </row>
    <row r="19" spans="2:16" ht="12.75" customHeight="1" x14ac:dyDescent="0.3">
      <c r="B19" s="202"/>
      <c r="C19" s="202"/>
      <c r="D19" s="203"/>
      <c r="E19" s="210"/>
      <c r="F19" s="196"/>
      <c r="G19" s="211"/>
      <c r="H19" s="206"/>
      <c r="I19" s="207"/>
      <c r="J19" s="208"/>
      <c r="K19" s="209"/>
      <c r="L19" s="128" t="str">
        <f t="shared" si="0"/>
        <v/>
      </c>
      <c r="M19" s="111"/>
      <c r="N19" t="str">
        <f t="shared" si="1"/>
        <v/>
      </c>
      <c r="O19" s="5" t="str">
        <f t="shared" si="2"/>
        <v/>
      </c>
    </row>
    <row r="20" spans="2:16" ht="12.75" customHeight="1" x14ac:dyDescent="0.3">
      <c r="B20" s="202"/>
      <c r="C20" s="202"/>
      <c r="D20" s="203"/>
      <c r="E20" s="210"/>
      <c r="F20" s="204"/>
      <c r="G20" s="211"/>
      <c r="H20" s="206"/>
      <c r="I20" s="207"/>
      <c r="J20" s="208"/>
      <c r="K20" s="209"/>
      <c r="L20" s="128" t="str">
        <f t="shared" si="0"/>
        <v/>
      </c>
      <c r="M20" s="111"/>
      <c r="N20" t="str">
        <f t="shared" si="1"/>
        <v/>
      </c>
      <c r="O20" s="5" t="str">
        <f t="shared" si="2"/>
        <v/>
      </c>
    </row>
    <row r="21" spans="2:16" ht="12.75" customHeight="1" x14ac:dyDescent="0.3">
      <c r="B21" s="202"/>
      <c r="C21" s="202"/>
      <c r="D21" s="203"/>
      <c r="E21" s="210"/>
      <c r="F21" s="196"/>
      <c r="G21" s="211"/>
      <c r="H21" s="206"/>
      <c r="I21" s="207"/>
      <c r="J21" s="208"/>
      <c r="K21" s="209"/>
      <c r="L21" s="128" t="str">
        <f t="shared" si="0"/>
        <v/>
      </c>
      <c r="M21" s="111"/>
      <c r="N21" t="str">
        <f t="shared" si="1"/>
        <v/>
      </c>
      <c r="O21" s="5" t="str">
        <f t="shared" si="2"/>
        <v/>
      </c>
    </row>
    <row r="22" spans="2:16" ht="12.75" customHeight="1" x14ac:dyDescent="0.3">
      <c r="B22" s="202"/>
      <c r="C22" s="202"/>
      <c r="D22" s="203"/>
      <c r="E22" s="210"/>
      <c r="F22" s="204"/>
      <c r="G22" s="211"/>
      <c r="H22" s="206"/>
      <c r="I22" s="207"/>
      <c r="J22" s="208"/>
      <c r="K22" s="209"/>
      <c r="L22" s="128" t="str">
        <f t="shared" si="0"/>
        <v/>
      </c>
      <c r="M22" s="111"/>
      <c r="N22" t="str">
        <f t="shared" si="1"/>
        <v/>
      </c>
      <c r="O22" s="5" t="str">
        <f t="shared" si="2"/>
        <v/>
      </c>
    </row>
    <row r="23" spans="2:16" ht="12.75" customHeight="1" x14ac:dyDescent="0.3">
      <c r="B23" s="202"/>
      <c r="C23" s="202"/>
      <c r="D23" s="203"/>
      <c r="E23" s="210"/>
      <c r="F23" s="125"/>
      <c r="G23" s="211"/>
      <c r="H23" s="206"/>
      <c r="I23" s="207"/>
      <c r="J23" s="208"/>
      <c r="K23" s="209"/>
      <c r="L23" s="128" t="str">
        <f t="shared" si="0"/>
        <v/>
      </c>
      <c r="M23" s="111"/>
      <c r="N23" t="str">
        <f t="shared" si="1"/>
        <v/>
      </c>
      <c r="O23" s="5" t="str">
        <f t="shared" si="2"/>
        <v/>
      </c>
    </row>
    <row r="24" spans="2:16" ht="12.75" customHeight="1" x14ac:dyDescent="0.3">
      <c r="B24" s="202"/>
      <c r="C24" s="202"/>
      <c r="D24" s="203"/>
      <c r="E24" s="210"/>
      <c r="F24" s="196"/>
      <c r="G24" s="211"/>
      <c r="H24" s="206"/>
      <c r="I24" s="207"/>
      <c r="J24" s="208"/>
      <c r="K24" s="209"/>
      <c r="L24" s="128" t="str">
        <f t="shared" si="0"/>
        <v/>
      </c>
      <c r="M24" s="111"/>
      <c r="N24" t="str">
        <f t="shared" si="1"/>
        <v/>
      </c>
      <c r="O24" s="5" t="str">
        <f t="shared" si="2"/>
        <v/>
      </c>
    </row>
    <row r="25" spans="2:16" ht="12.75" customHeight="1" x14ac:dyDescent="0.3">
      <c r="B25" s="202"/>
      <c r="C25" s="202"/>
      <c r="D25" s="203"/>
      <c r="E25" s="210"/>
      <c r="F25" s="204"/>
      <c r="G25" s="211"/>
      <c r="H25" s="206"/>
      <c r="I25" s="207"/>
      <c r="J25" s="208"/>
      <c r="K25" s="209"/>
      <c r="L25" s="128" t="str">
        <f t="shared" si="0"/>
        <v/>
      </c>
      <c r="M25" s="111"/>
      <c r="N25" t="str">
        <f t="shared" si="1"/>
        <v/>
      </c>
      <c r="O25" s="5" t="str">
        <f t="shared" si="2"/>
        <v/>
      </c>
    </row>
    <row r="26" spans="2:16" ht="12.75" customHeight="1" x14ac:dyDescent="0.3">
      <c r="B26" s="202"/>
      <c r="C26" s="202"/>
      <c r="D26" s="203"/>
      <c r="E26" s="210"/>
      <c r="F26" s="125"/>
      <c r="G26" s="211"/>
      <c r="H26" s="206"/>
      <c r="I26" s="207"/>
      <c r="J26" s="208"/>
      <c r="K26" s="209"/>
      <c r="L26" s="128" t="str">
        <f t="shared" si="0"/>
        <v/>
      </c>
      <c r="M26" s="111"/>
      <c r="N26" t="str">
        <f t="shared" si="1"/>
        <v/>
      </c>
      <c r="O26" s="5" t="str">
        <f t="shared" si="2"/>
        <v/>
      </c>
    </row>
    <row r="27" spans="2:16" ht="12.75" customHeight="1" x14ac:dyDescent="0.3">
      <c r="B27" s="202"/>
      <c r="C27" s="202"/>
      <c r="D27" s="203"/>
      <c r="E27" s="210"/>
      <c r="F27" s="196"/>
      <c r="G27" s="211"/>
      <c r="H27" s="206"/>
      <c r="I27" s="207"/>
      <c r="J27" s="208"/>
      <c r="K27" s="209"/>
      <c r="L27" s="128" t="str">
        <f t="shared" si="0"/>
        <v/>
      </c>
      <c r="M27" s="111"/>
      <c r="N27" t="str">
        <f t="shared" si="1"/>
        <v/>
      </c>
      <c r="O27" s="5" t="str">
        <f t="shared" si="2"/>
        <v/>
      </c>
    </row>
    <row r="28" spans="2:16" ht="12.75" customHeight="1" x14ac:dyDescent="0.3">
      <c r="B28" s="202"/>
      <c r="C28" s="202"/>
      <c r="D28" s="203"/>
      <c r="E28" s="210"/>
      <c r="F28" s="204"/>
      <c r="G28" s="211"/>
      <c r="H28" s="206"/>
      <c r="I28" s="207"/>
      <c r="J28" s="208"/>
      <c r="K28" s="209"/>
      <c r="L28" s="128" t="str">
        <f t="shared" si="0"/>
        <v/>
      </c>
      <c r="M28" s="111"/>
      <c r="N28" t="str">
        <f t="shared" si="1"/>
        <v/>
      </c>
      <c r="O28" s="5" t="str">
        <f t="shared" si="2"/>
        <v/>
      </c>
    </row>
    <row r="29" spans="2:16" ht="12.75" customHeight="1" x14ac:dyDescent="0.3">
      <c r="B29" s="202"/>
      <c r="C29" s="202"/>
      <c r="D29" s="204"/>
      <c r="E29" s="210"/>
      <c r="F29" s="125"/>
      <c r="G29" s="211"/>
      <c r="H29" s="214"/>
      <c r="I29" s="207"/>
      <c r="J29" s="208"/>
      <c r="K29" s="209"/>
      <c r="L29" s="128" t="str">
        <f t="shared" si="0"/>
        <v/>
      </c>
      <c r="M29" s="111"/>
      <c r="N29" t="str">
        <f t="shared" si="1"/>
        <v/>
      </c>
      <c r="O29" s="5" t="str">
        <f t="shared" si="2"/>
        <v/>
      </c>
    </row>
    <row r="30" spans="2:16" ht="12.75" customHeight="1" x14ac:dyDescent="0.3">
      <c r="B30" s="202"/>
      <c r="C30" s="202"/>
      <c r="D30" s="203"/>
      <c r="E30" s="210"/>
      <c r="F30" s="210"/>
      <c r="G30" s="211"/>
      <c r="H30" s="206"/>
      <c r="I30" s="207"/>
      <c r="J30" s="208"/>
      <c r="K30" s="209"/>
      <c r="L30" s="128" t="str">
        <f t="shared" si="0"/>
        <v/>
      </c>
      <c r="M30" s="111"/>
      <c r="N30" t="str">
        <f t="shared" si="1"/>
        <v/>
      </c>
      <c r="O30" s="5" t="str">
        <f t="shared" si="2"/>
        <v/>
      </c>
    </row>
    <row r="31" spans="2:16" ht="12.75" customHeight="1" x14ac:dyDescent="0.3">
      <c r="B31" s="202"/>
      <c r="C31" s="202"/>
      <c r="D31" s="204"/>
      <c r="E31" s="210"/>
      <c r="F31" s="210"/>
      <c r="G31" s="211"/>
      <c r="H31" s="214"/>
      <c r="I31" s="207"/>
      <c r="J31" s="208"/>
      <c r="K31" s="209"/>
      <c r="L31" s="128" t="str">
        <f t="shared" si="0"/>
        <v/>
      </c>
      <c r="M31" s="111"/>
      <c r="N31" t="str">
        <f t="shared" si="1"/>
        <v/>
      </c>
      <c r="O31" s="5" t="str">
        <f t="shared" si="2"/>
        <v/>
      </c>
    </row>
    <row r="32" spans="2:16" ht="12.75" customHeight="1" x14ac:dyDescent="0.3">
      <c r="B32" s="202"/>
      <c r="C32" s="202"/>
      <c r="D32" s="204"/>
      <c r="E32" s="210"/>
      <c r="F32" s="210"/>
      <c r="G32" s="211"/>
      <c r="H32" s="214"/>
      <c r="I32" s="207"/>
      <c r="J32" s="208"/>
      <c r="K32" s="209"/>
      <c r="L32" s="128" t="str">
        <f t="shared" si="0"/>
        <v/>
      </c>
      <c r="M32" s="111"/>
      <c r="N32" t="str">
        <f t="shared" si="1"/>
        <v/>
      </c>
      <c r="O32" s="5" t="str">
        <f t="shared" si="2"/>
        <v/>
      </c>
    </row>
    <row r="33" spans="2:15" ht="12.75" customHeight="1" x14ac:dyDescent="0.3">
      <c r="B33" s="202"/>
      <c r="C33" s="202"/>
      <c r="D33" s="204"/>
      <c r="E33" s="210"/>
      <c r="F33" s="210"/>
      <c r="G33" s="211"/>
      <c r="H33" s="214"/>
      <c r="I33" s="207"/>
      <c r="J33" s="208"/>
      <c r="K33" s="209"/>
      <c r="L33" s="128" t="str">
        <f t="shared" si="0"/>
        <v/>
      </c>
      <c r="M33" s="111"/>
      <c r="N33" t="str">
        <f t="shared" si="1"/>
        <v/>
      </c>
      <c r="O33" s="5" t="str">
        <f t="shared" si="2"/>
        <v/>
      </c>
    </row>
    <row r="34" spans="2:15" ht="12.75" customHeight="1" x14ac:dyDescent="0.3">
      <c r="B34" s="202"/>
      <c r="C34" s="202"/>
      <c r="D34" s="204"/>
      <c r="E34" s="210"/>
      <c r="F34" s="210"/>
      <c r="G34" s="211"/>
      <c r="H34" s="214"/>
      <c r="I34" s="207"/>
      <c r="J34" s="208"/>
      <c r="K34" s="209"/>
      <c r="L34" s="128" t="str">
        <f t="shared" si="0"/>
        <v/>
      </c>
      <c r="M34" s="111"/>
      <c r="N34" t="str">
        <f t="shared" si="1"/>
        <v/>
      </c>
      <c r="O34" s="5" t="str">
        <f t="shared" si="2"/>
        <v/>
      </c>
    </row>
    <row r="35" spans="2:15" ht="12.75" customHeight="1" x14ac:dyDescent="0.3">
      <c r="B35" s="202"/>
      <c r="C35" s="202"/>
      <c r="D35" s="203"/>
      <c r="E35" s="210"/>
      <c r="F35" s="210"/>
      <c r="G35" s="211"/>
      <c r="H35" s="206"/>
      <c r="I35" s="207"/>
      <c r="J35" s="208"/>
      <c r="K35" s="209"/>
      <c r="L35" s="128" t="str">
        <f t="shared" si="0"/>
        <v/>
      </c>
      <c r="M35" s="111"/>
      <c r="N35" t="str">
        <f t="shared" si="1"/>
        <v/>
      </c>
      <c r="O35" s="5" t="str">
        <f t="shared" si="2"/>
        <v/>
      </c>
    </row>
    <row r="36" spans="2:15" ht="12.75" customHeight="1" x14ac:dyDescent="0.3">
      <c r="B36" s="202"/>
      <c r="C36" s="202"/>
      <c r="D36" s="204"/>
      <c r="E36" s="210"/>
      <c r="F36" s="210"/>
      <c r="G36" s="211"/>
      <c r="H36" s="214"/>
      <c r="I36" s="207"/>
      <c r="J36" s="208"/>
      <c r="K36" s="209"/>
      <c r="L36" s="128" t="str">
        <f t="shared" si="0"/>
        <v/>
      </c>
      <c r="M36" s="111"/>
      <c r="N36" t="str">
        <f t="shared" si="1"/>
        <v/>
      </c>
      <c r="O36" s="5" t="str">
        <f t="shared" si="2"/>
        <v/>
      </c>
    </row>
    <row r="37" spans="2:15" ht="12.75" customHeight="1" x14ac:dyDescent="0.3">
      <c r="B37" s="202"/>
      <c r="C37" s="202"/>
      <c r="D37" s="204"/>
      <c r="E37" s="210"/>
      <c r="F37" s="210"/>
      <c r="G37" s="211"/>
      <c r="H37" s="214"/>
      <c r="I37" s="207"/>
      <c r="J37" s="208"/>
      <c r="K37" s="209"/>
      <c r="L37" s="128" t="str">
        <f t="shared" si="0"/>
        <v/>
      </c>
      <c r="M37" s="111"/>
      <c r="N37" t="str">
        <f t="shared" si="1"/>
        <v/>
      </c>
      <c r="O37" s="5" t="str">
        <f t="shared" si="2"/>
        <v/>
      </c>
    </row>
    <row r="38" spans="2:15" ht="12.75" customHeight="1" x14ac:dyDescent="0.3">
      <c r="B38" s="202"/>
      <c r="C38" s="202"/>
      <c r="D38" s="204"/>
      <c r="E38" s="210"/>
      <c r="F38" s="210"/>
      <c r="G38" s="211"/>
      <c r="H38" s="214"/>
      <c r="I38" s="207"/>
      <c r="J38" s="208"/>
      <c r="K38" s="209"/>
      <c r="L38" s="128" t="str">
        <f t="shared" si="0"/>
        <v/>
      </c>
      <c r="M38" s="111"/>
      <c r="N38" t="str">
        <f t="shared" si="1"/>
        <v/>
      </c>
      <c r="O38" s="5" t="str">
        <f t="shared" si="2"/>
        <v/>
      </c>
    </row>
    <row r="39" spans="2:15" ht="12.75" customHeight="1" x14ac:dyDescent="0.3">
      <c r="B39" s="202"/>
      <c r="C39" s="202"/>
      <c r="D39" s="204"/>
      <c r="E39" s="215"/>
      <c r="F39" s="210"/>
      <c r="G39" s="211"/>
      <c r="H39" s="214"/>
      <c r="I39" s="207"/>
      <c r="J39" s="208"/>
      <c r="K39" s="209"/>
      <c r="L39" s="128" t="str">
        <f t="shared" si="0"/>
        <v/>
      </c>
      <c r="M39" s="111"/>
      <c r="N39" t="str">
        <f t="shared" si="1"/>
        <v/>
      </c>
      <c r="O39" s="5" t="str">
        <f t="shared" si="2"/>
        <v/>
      </c>
    </row>
    <row r="40" spans="2:15" ht="12.75" customHeight="1" x14ac:dyDescent="0.3">
      <c r="B40" s="202"/>
      <c r="C40" s="202"/>
      <c r="D40" s="204"/>
      <c r="E40" s="210"/>
      <c r="F40" s="210"/>
      <c r="G40" s="211"/>
      <c r="H40" s="214"/>
      <c r="I40" s="207"/>
      <c r="J40" s="208"/>
      <c r="K40" s="209"/>
      <c r="L40" s="128" t="str">
        <f t="shared" si="0"/>
        <v/>
      </c>
      <c r="M40" s="111"/>
      <c r="N40" t="str">
        <f t="shared" si="1"/>
        <v/>
      </c>
      <c r="O40" s="5" t="str">
        <f t="shared" si="2"/>
        <v/>
      </c>
    </row>
    <row r="41" spans="2:15" ht="12.75" customHeight="1" x14ac:dyDescent="0.3">
      <c r="B41" s="202"/>
      <c r="C41" s="202"/>
      <c r="D41" s="204"/>
      <c r="E41" s="215"/>
      <c r="F41" s="210"/>
      <c r="G41" s="211"/>
      <c r="H41" s="214"/>
      <c r="I41" s="207"/>
      <c r="J41" s="208"/>
      <c r="K41" s="209"/>
      <c r="L41" s="128" t="str">
        <f t="shared" si="0"/>
        <v/>
      </c>
      <c r="M41" s="111"/>
      <c r="N41" t="str">
        <f t="shared" si="1"/>
        <v/>
      </c>
      <c r="O41" s="5" t="str">
        <f t="shared" si="2"/>
        <v/>
      </c>
    </row>
    <row r="42" spans="2:15" ht="12.75" customHeight="1" x14ac:dyDescent="0.3">
      <c r="B42" s="202"/>
      <c r="C42" s="202"/>
      <c r="D42" s="204"/>
      <c r="E42" s="215"/>
      <c r="F42" s="210"/>
      <c r="G42" s="211"/>
      <c r="H42" s="214"/>
      <c r="I42" s="207"/>
      <c r="J42" s="208"/>
      <c r="K42" s="209"/>
      <c r="L42" s="128" t="str">
        <f t="shared" si="0"/>
        <v/>
      </c>
      <c r="M42" s="111"/>
      <c r="N42" t="str">
        <f t="shared" si="1"/>
        <v/>
      </c>
      <c r="O42" s="5" t="str">
        <f t="shared" si="2"/>
        <v/>
      </c>
    </row>
    <row r="43" spans="2:15" ht="12.75" customHeight="1" x14ac:dyDescent="0.3">
      <c r="B43" s="202"/>
      <c r="C43" s="202"/>
      <c r="D43" s="204"/>
      <c r="E43" s="210"/>
      <c r="F43" s="210"/>
      <c r="G43" s="211"/>
      <c r="H43" s="214"/>
      <c r="I43" s="207"/>
      <c r="J43" s="208"/>
      <c r="K43" s="209"/>
      <c r="L43" s="128" t="str">
        <f t="shared" si="0"/>
        <v/>
      </c>
      <c r="M43" s="111"/>
      <c r="N43" t="str">
        <f t="shared" si="1"/>
        <v/>
      </c>
      <c r="O43" s="5" t="str">
        <f t="shared" si="2"/>
        <v/>
      </c>
    </row>
    <row r="44" spans="2:15" ht="12.75" customHeight="1" x14ac:dyDescent="0.3">
      <c r="B44" s="202"/>
      <c r="C44" s="202"/>
      <c r="D44" s="204"/>
      <c r="E44" s="210"/>
      <c r="F44" s="210"/>
      <c r="G44" s="211"/>
      <c r="H44" s="214"/>
      <c r="I44" s="207"/>
      <c r="J44" s="208"/>
      <c r="K44" s="209"/>
      <c r="L44" s="128" t="str">
        <f t="shared" si="0"/>
        <v/>
      </c>
      <c r="M44" s="111"/>
      <c r="N44" t="str">
        <f t="shared" si="1"/>
        <v/>
      </c>
      <c r="O44" s="5" t="str">
        <f t="shared" si="2"/>
        <v/>
      </c>
    </row>
    <row r="45" spans="2:15" ht="12.75" customHeight="1" x14ac:dyDescent="0.3">
      <c r="B45" s="202"/>
      <c r="C45" s="202"/>
      <c r="D45" s="204"/>
      <c r="E45" s="210"/>
      <c r="F45" s="210"/>
      <c r="G45" s="211"/>
      <c r="H45" s="214"/>
      <c r="I45" s="207"/>
      <c r="J45" s="208"/>
      <c r="K45" s="209"/>
      <c r="L45" s="128" t="str">
        <f t="shared" si="0"/>
        <v/>
      </c>
      <c r="M45" s="111"/>
      <c r="N45" t="str">
        <f t="shared" si="1"/>
        <v/>
      </c>
      <c r="O45" s="5" t="str">
        <f t="shared" si="2"/>
        <v/>
      </c>
    </row>
    <row r="46" spans="2:15" ht="12.75" customHeight="1" x14ac:dyDescent="0.3">
      <c r="B46" s="202"/>
      <c r="C46" s="202"/>
      <c r="D46" s="210"/>
      <c r="E46" s="210"/>
      <c r="F46" s="210"/>
      <c r="G46" s="211"/>
      <c r="H46" s="214"/>
      <c r="I46" s="207"/>
      <c r="J46" s="208"/>
      <c r="K46" s="209"/>
      <c r="L46" s="128" t="str">
        <f t="shared" si="0"/>
        <v/>
      </c>
      <c r="M46" s="111"/>
      <c r="N46" t="str">
        <f t="shared" si="1"/>
        <v/>
      </c>
      <c r="O46" s="5" t="str">
        <f t="shared" si="2"/>
        <v/>
      </c>
    </row>
    <row r="47" spans="2:15" ht="12.75" customHeight="1" x14ac:dyDescent="0.3">
      <c r="B47" s="202"/>
      <c r="C47" s="202"/>
      <c r="D47" s="212"/>
      <c r="E47" s="210"/>
      <c r="F47" s="210"/>
      <c r="G47" s="211"/>
      <c r="H47" s="213"/>
      <c r="I47" s="207"/>
      <c r="J47" s="208"/>
      <c r="K47" s="209"/>
      <c r="L47" s="128" t="str">
        <f t="shared" si="0"/>
        <v/>
      </c>
      <c r="M47" s="111"/>
      <c r="N47" t="str">
        <f t="shared" si="1"/>
        <v/>
      </c>
      <c r="O47" s="5" t="str">
        <f t="shared" si="2"/>
        <v/>
      </c>
    </row>
    <row r="48" spans="2:15" ht="12.75" customHeight="1" x14ac:dyDescent="0.3">
      <c r="B48" s="202"/>
      <c r="C48" s="202"/>
      <c r="D48" s="210"/>
      <c r="E48" s="210"/>
      <c r="F48" s="210"/>
      <c r="G48" s="211"/>
      <c r="H48" s="214"/>
      <c r="I48" s="207"/>
      <c r="J48" s="208"/>
      <c r="K48" s="209"/>
      <c r="L48" s="128" t="str">
        <f t="shared" si="0"/>
        <v/>
      </c>
      <c r="M48" s="111"/>
      <c r="N48" t="str">
        <f t="shared" si="1"/>
        <v/>
      </c>
      <c r="O48" s="5" t="str">
        <f t="shared" si="2"/>
        <v/>
      </c>
    </row>
    <row r="49" spans="2:15" ht="12.75" customHeight="1" x14ac:dyDescent="0.3">
      <c r="B49" s="202"/>
      <c r="C49" s="202"/>
      <c r="D49" s="210"/>
      <c r="E49" s="210"/>
      <c r="F49" s="210"/>
      <c r="G49" s="211"/>
      <c r="H49" s="214"/>
      <c r="I49" s="207"/>
      <c r="J49" s="208"/>
      <c r="K49" s="209"/>
      <c r="L49" s="128" t="str">
        <f t="shared" si="0"/>
        <v/>
      </c>
      <c r="M49" s="111"/>
      <c r="N49" t="str">
        <f t="shared" si="1"/>
        <v/>
      </c>
      <c r="O49" s="5" t="str">
        <f t="shared" si="2"/>
        <v/>
      </c>
    </row>
    <row r="50" spans="2:15" ht="12.75" customHeight="1" x14ac:dyDescent="0.3">
      <c r="B50" s="202"/>
      <c r="C50" s="202"/>
      <c r="D50" s="210"/>
      <c r="E50" s="210"/>
      <c r="F50" s="210"/>
      <c r="G50" s="211"/>
      <c r="H50" s="214"/>
      <c r="I50" s="207"/>
      <c r="J50" s="208"/>
      <c r="K50" s="209"/>
      <c r="L50" s="128" t="str">
        <f t="shared" si="0"/>
        <v/>
      </c>
      <c r="M50" s="111"/>
      <c r="N50" t="str">
        <f t="shared" si="1"/>
        <v/>
      </c>
      <c r="O50" s="5" t="str">
        <f t="shared" si="2"/>
        <v/>
      </c>
    </row>
    <row r="51" spans="2:15" ht="12.75" customHeight="1" x14ac:dyDescent="0.3">
      <c r="B51" s="202"/>
      <c r="C51" s="202"/>
      <c r="D51" s="210"/>
      <c r="E51" s="210"/>
      <c r="F51" s="210"/>
      <c r="G51" s="211"/>
      <c r="H51" s="214"/>
      <c r="I51" s="207"/>
      <c r="J51" s="208"/>
      <c r="K51" s="209"/>
      <c r="L51" s="128" t="str">
        <f t="shared" si="0"/>
        <v/>
      </c>
      <c r="M51" s="111"/>
      <c r="N51" t="str">
        <f t="shared" si="1"/>
        <v/>
      </c>
      <c r="O51" s="5" t="str">
        <f t="shared" si="2"/>
        <v/>
      </c>
    </row>
    <row r="52" spans="2:15" ht="12.75" customHeight="1" x14ac:dyDescent="0.3">
      <c r="B52" s="202"/>
      <c r="C52" s="202"/>
      <c r="D52" s="210"/>
      <c r="E52" s="210"/>
      <c r="F52" s="210"/>
      <c r="G52" s="211"/>
      <c r="H52" s="214"/>
      <c r="I52" s="207"/>
      <c r="J52" s="208"/>
      <c r="K52" s="209"/>
      <c r="L52" s="128" t="str">
        <f t="shared" si="0"/>
        <v/>
      </c>
      <c r="M52" s="111"/>
      <c r="N52" t="str">
        <f t="shared" si="1"/>
        <v/>
      </c>
      <c r="O52" s="5" t="str">
        <f t="shared" si="2"/>
        <v/>
      </c>
    </row>
    <row r="53" spans="2:15" ht="12.75" customHeight="1" x14ac:dyDescent="0.3">
      <c r="B53" s="202"/>
      <c r="C53" s="202"/>
      <c r="D53" s="210"/>
      <c r="E53" s="210"/>
      <c r="F53" s="210"/>
      <c r="G53" s="211"/>
      <c r="H53" s="214"/>
      <c r="I53" s="207"/>
      <c r="J53" s="208"/>
      <c r="K53" s="209"/>
      <c r="L53" s="128" t="str">
        <f t="shared" si="0"/>
        <v/>
      </c>
      <c r="M53" s="111"/>
      <c r="N53" t="str">
        <f t="shared" si="1"/>
        <v/>
      </c>
      <c r="O53" s="5" t="str">
        <f t="shared" si="2"/>
        <v/>
      </c>
    </row>
    <row r="54" spans="2:15" ht="12.75" customHeight="1" x14ac:dyDescent="0.3">
      <c r="B54" s="202"/>
      <c r="C54" s="202"/>
      <c r="D54" s="210"/>
      <c r="E54" s="210"/>
      <c r="F54" s="210"/>
      <c r="G54" s="211"/>
      <c r="H54" s="214"/>
      <c r="I54" s="207"/>
      <c r="J54" s="208"/>
      <c r="K54" s="209"/>
      <c r="L54" s="128" t="str">
        <f t="shared" si="0"/>
        <v/>
      </c>
      <c r="M54" s="111"/>
      <c r="N54" t="str">
        <f t="shared" si="1"/>
        <v/>
      </c>
      <c r="O54" s="5" t="str">
        <f t="shared" si="2"/>
        <v/>
      </c>
    </row>
    <row r="55" spans="2:15" ht="12.75" customHeight="1" x14ac:dyDescent="0.3">
      <c r="B55" s="202"/>
      <c r="C55" s="202"/>
      <c r="D55" s="210"/>
      <c r="E55" s="210"/>
      <c r="F55" s="210"/>
      <c r="G55" s="211"/>
      <c r="H55" s="214"/>
      <c r="I55" s="207"/>
      <c r="J55" s="208"/>
      <c r="K55" s="209"/>
      <c r="L55" s="128" t="str">
        <f t="shared" si="0"/>
        <v/>
      </c>
      <c r="M55" s="111"/>
      <c r="N55" t="str">
        <f t="shared" si="1"/>
        <v/>
      </c>
      <c r="O55" s="5" t="str">
        <f t="shared" si="2"/>
        <v/>
      </c>
    </row>
    <row r="56" spans="2:15" ht="12.75" customHeight="1" x14ac:dyDescent="0.3">
      <c r="B56" s="202"/>
      <c r="C56" s="202"/>
      <c r="D56" s="210"/>
      <c r="E56" s="210"/>
      <c r="F56" s="210"/>
      <c r="G56" s="211"/>
      <c r="H56" s="214"/>
      <c r="I56" s="207"/>
      <c r="J56" s="208"/>
      <c r="K56" s="209"/>
      <c r="L56" s="128" t="str">
        <f t="shared" si="0"/>
        <v/>
      </c>
      <c r="M56" s="111"/>
      <c r="N56" t="str">
        <f t="shared" si="1"/>
        <v/>
      </c>
      <c r="O56" s="5" t="str">
        <f t="shared" si="2"/>
        <v/>
      </c>
    </row>
    <row r="57" spans="2:15" ht="12.75" customHeight="1" x14ac:dyDescent="0.3">
      <c r="B57" s="202"/>
      <c r="C57" s="202"/>
      <c r="D57" s="210"/>
      <c r="E57" s="210"/>
      <c r="F57" s="210"/>
      <c r="G57" s="211"/>
      <c r="H57" s="214"/>
      <c r="I57" s="207"/>
      <c r="J57" s="208"/>
      <c r="K57" s="209"/>
      <c r="L57" s="128" t="str">
        <f t="shared" si="0"/>
        <v/>
      </c>
      <c r="M57" s="111"/>
      <c r="N57" t="str">
        <f t="shared" si="1"/>
        <v/>
      </c>
      <c r="O57" s="5" t="str">
        <f t="shared" si="2"/>
        <v/>
      </c>
    </row>
    <row r="58" spans="2:15" ht="12.75" customHeight="1" x14ac:dyDescent="0.3">
      <c r="B58" s="202"/>
      <c r="C58" s="202"/>
      <c r="D58" s="210"/>
      <c r="E58" s="210"/>
      <c r="F58" s="210"/>
      <c r="G58" s="211"/>
      <c r="H58" s="214"/>
      <c r="I58" s="207"/>
      <c r="J58" s="208"/>
      <c r="K58" s="209"/>
      <c r="L58" s="128" t="str">
        <f t="shared" si="0"/>
        <v/>
      </c>
      <c r="M58" s="111"/>
      <c r="N58" t="str">
        <f t="shared" si="1"/>
        <v/>
      </c>
      <c r="O58" s="5" t="str">
        <f t="shared" si="2"/>
        <v/>
      </c>
    </row>
    <row r="59" spans="2:15" ht="12.75" customHeight="1" x14ac:dyDescent="0.3">
      <c r="B59" s="202"/>
      <c r="C59" s="202"/>
      <c r="D59" s="210"/>
      <c r="E59" s="210"/>
      <c r="F59" s="210"/>
      <c r="G59" s="211"/>
      <c r="H59" s="214"/>
      <c r="I59" s="207"/>
      <c r="J59" s="208"/>
      <c r="K59" s="209"/>
      <c r="L59" s="128" t="str">
        <f t="shared" si="0"/>
        <v/>
      </c>
      <c r="M59" s="111"/>
      <c r="N59" t="str">
        <f t="shared" si="1"/>
        <v/>
      </c>
      <c r="O59" s="5" t="str">
        <f t="shared" si="2"/>
        <v/>
      </c>
    </row>
    <row r="60" spans="2:15" ht="12.75" customHeight="1" x14ac:dyDescent="0.3">
      <c r="B60" s="202"/>
      <c r="C60" s="202"/>
      <c r="D60" s="210"/>
      <c r="E60" s="210"/>
      <c r="F60" s="210"/>
      <c r="G60" s="211"/>
      <c r="H60" s="214"/>
      <c r="I60" s="207"/>
      <c r="J60" s="208"/>
      <c r="K60" s="209"/>
      <c r="L60" s="128" t="str">
        <f t="shared" si="0"/>
        <v/>
      </c>
      <c r="M60" s="111"/>
      <c r="N60" t="str">
        <f t="shared" si="1"/>
        <v/>
      </c>
      <c r="O60" s="5" t="str">
        <f t="shared" si="2"/>
        <v/>
      </c>
    </row>
    <row r="61" spans="2:15" ht="12.75" customHeight="1" x14ac:dyDescent="0.3">
      <c r="B61" s="202"/>
      <c r="C61" s="202"/>
      <c r="D61" s="210"/>
      <c r="E61" s="210"/>
      <c r="F61" s="210"/>
      <c r="G61" s="211"/>
      <c r="H61" s="214"/>
      <c r="I61" s="207"/>
      <c r="J61" s="208"/>
      <c r="K61" s="209"/>
      <c r="L61" s="128" t="str">
        <f t="shared" si="0"/>
        <v/>
      </c>
      <c r="M61" s="111"/>
      <c r="N61" t="str">
        <f t="shared" si="1"/>
        <v/>
      </c>
      <c r="O61" s="5" t="str">
        <f t="shared" si="2"/>
        <v/>
      </c>
    </row>
    <row r="62" spans="2:15" ht="12.75" customHeight="1" x14ac:dyDescent="0.3">
      <c r="B62" s="202"/>
      <c r="C62" s="202"/>
      <c r="D62" s="210"/>
      <c r="E62" s="210"/>
      <c r="F62" s="210"/>
      <c r="G62" s="211"/>
      <c r="H62" s="214"/>
      <c r="I62" s="207"/>
      <c r="J62" s="208"/>
      <c r="K62" s="209"/>
      <c r="L62" s="128" t="str">
        <f t="shared" si="0"/>
        <v/>
      </c>
      <c r="M62" s="111"/>
      <c r="N62" t="str">
        <f t="shared" si="1"/>
        <v/>
      </c>
      <c r="O62" s="5" t="str">
        <f t="shared" si="2"/>
        <v/>
      </c>
    </row>
    <row r="63" spans="2:15" ht="12.75" customHeight="1" x14ac:dyDescent="0.3">
      <c r="B63" s="202"/>
      <c r="C63" s="202"/>
      <c r="D63" s="210"/>
      <c r="E63" s="210"/>
      <c r="F63" s="210"/>
      <c r="G63" s="211"/>
      <c r="H63" s="214"/>
      <c r="I63" s="207"/>
      <c r="J63" s="208"/>
      <c r="K63" s="209"/>
      <c r="L63" s="128" t="str">
        <f t="shared" si="0"/>
        <v/>
      </c>
      <c r="M63" s="111"/>
      <c r="N63" t="str">
        <f t="shared" si="1"/>
        <v/>
      </c>
      <c r="O63" s="5" t="str">
        <f t="shared" si="2"/>
        <v/>
      </c>
    </row>
    <row r="64" spans="2:15" ht="12.75" customHeight="1" x14ac:dyDescent="0.3">
      <c r="B64" s="202"/>
      <c r="C64" s="202"/>
      <c r="D64" s="210"/>
      <c r="E64" s="210"/>
      <c r="F64" s="210"/>
      <c r="G64" s="211"/>
      <c r="H64" s="214"/>
      <c r="I64" s="207"/>
      <c r="J64" s="208"/>
      <c r="K64" s="209"/>
      <c r="L64" s="128" t="str">
        <f t="shared" si="0"/>
        <v/>
      </c>
      <c r="M64" s="111"/>
      <c r="N64" t="str">
        <f t="shared" si="1"/>
        <v/>
      </c>
      <c r="O64" s="5" t="str">
        <f t="shared" si="2"/>
        <v/>
      </c>
    </row>
    <row r="65" spans="2:17" ht="12.75" customHeight="1" x14ac:dyDescent="0.3">
      <c r="B65" s="202"/>
      <c r="C65" s="202"/>
      <c r="D65" s="210"/>
      <c r="E65" s="210"/>
      <c r="F65" s="210"/>
      <c r="G65" s="211"/>
      <c r="H65" s="214"/>
      <c r="I65" s="207"/>
      <c r="J65" s="208"/>
      <c r="K65" s="209"/>
      <c r="L65" s="128" t="str">
        <f t="shared" si="0"/>
        <v/>
      </c>
      <c r="M65" s="111"/>
      <c r="N65" t="str">
        <f t="shared" si="1"/>
        <v/>
      </c>
      <c r="O65" s="5" t="str">
        <f t="shared" si="2"/>
        <v/>
      </c>
    </row>
    <row r="66" spans="2:17" ht="12.75" customHeight="1" x14ac:dyDescent="0.3">
      <c r="B66" s="202"/>
      <c r="C66" s="202"/>
      <c r="D66" s="210"/>
      <c r="E66" s="210"/>
      <c r="F66" s="210"/>
      <c r="G66" s="211"/>
      <c r="H66" s="214"/>
      <c r="I66" s="207"/>
      <c r="J66" s="208"/>
      <c r="K66" s="209"/>
      <c r="L66" s="128" t="str">
        <f t="shared" si="0"/>
        <v/>
      </c>
      <c r="M66" s="111"/>
      <c r="N66" t="str">
        <f t="shared" si="1"/>
        <v/>
      </c>
      <c r="O66" s="5" t="str">
        <f t="shared" si="2"/>
        <v/>
      </c>
    </row>
    <row r="67" spans="2:17" ht="12.75" customHeight="1" x14ac:dyDescent="0.3">
      <c r="B67" s="202"/>
      <c r="C67" s="202"/>
      <c r="D67" s="210"/>
      <c r="E67" s="210"/>
      <c r="F67" s="210"/>
      <c r="G67" s="211"/>
      <c r="H67" s="214"/>
      <c r="I67" s="207"/>
      <c r="J67" s="208"/>
      <c r="K67" s="209"/>
      <c r="L67" s="128" t="str">
        <f t="shared" si="0"/>
        <v/>
      </c>
      <c r="M67" s="111"/>
      <c r="N67" t="str">
        <f t="shared" si="1"/>
        <v/>
      </c>
      <c r="O67" s="5" t="str">
        <f t="shared" si="2"/>
        <v/>
      </c>
    </row>
    <row r="68" spans="2:17" ht="12.75" customHeight="1" x14ac:dyDescent="0.3">
      <c r="B68" s="202"/>
      <c r="C68" s="202"/>
      <c r="D68" s="210"/>
      <c r="E68" s="210"/>
      <c r="F68" s="210"/>
      <c r="G68" s="211"/>
      <c r="H68" s="214"/>
      <c r="I68" s="207"/>
      <c r="J68" s="208"/>
      <c r="K68" s="209"/>
      <c r="L68" s="128" t="str">
        <f t="shared" si="0"/>
        <v/>
      </c>
      <c r="M68" s="111"/>
      <c r="N68" t="str">
        <f t="shared" si="1"/>
        <v/>
      </c>
      <c r="O68" s="5" t="str">
        <f t="shared" si="2"/>
        <v/>
      </c>
    </row>
    <row r="69" spans="2:17" ht="12.75" customHeight="1" x14ac:dyDescent="0.3">
      <c r="B69" s="202"/>
      <c r="C69" s="202"/>
      <c r="D69" s="210"/>
      <c r="E69" s="210"/>
      <c r="F69" s="210"/>
      <c r="G69" s="211"/>
      <c r="H69" s="214"/>
      <c r="I69" s="207"/>
      <c r="J69" s="208"/>
      <c r="K69" s="209"/>
      <c r="L69" s="128" t="str">
        <f t="shared" si="0"/>
        <v/>
      </c>
      <c r="M69" s="111"/>
      <c r="N69" t="str">
        <f t="shared" si="1"/>
        <v/>
      </c>
      <c r="O69" s="5" t="str">
        <f t="shared" si="2"/>
        <v/>
      </c>
    </row>
    <row r="70" spans="2:17" ht="12.75" customHeight="1" x14ac:dyDescent="0.3">
      <c r="B70" s="202"/>
      <c r="C70" s="202"/>
      <c r="D70" s="210"/>
      <c r="E70" s="210"/>
      <c r="F70" s="210"/>
      <c r="G70" s="211"/>
      <c r="H70" s="214"/>
      <c r="I70" s="207"/>
      <c r="J70" s="208"/>
      <c r="K70" s="209"/>
      <c r="L70" s="128" t="str">
        <f t="shared" si="0"/>
        <v/>
      </c>
      <c r="M70" s="111"/>
      <c r="N70" t="str">
        <f t="shared" si="1"/>
        <v/>
      </c>
      <c r="O70" s="5" t="str">
        <f t="shared" si="2"/>
        <v/>
      </c>
    </row>
    <row r="71" spans="2:17" ht="12.75" customHeight="1" x14ac:dyDescent="0.3">
      <c r="B71" s="202"/>
      <c r="C71" s="202"/>
      <c r="D71" s="210"/>
      <c r="E71" s="210"/>
      <c r="F71" s="210"/>
      <c r="G71" s="211"/>
      <c r="H71" s="214"/>
      <c r="I71" s="207"/>
      <c r="J71" s="208"/>
      <c r="K71" s="209"/>
      <c r="L71" s="128" t="str">
        <f t="shared" ref="L71:L134" si="3">IF(AND(OR($B71="",$C71="",$G71="",$H71="",$J71="",$K71="",AND($C71="Factuur",$J71="Openstaand",$F71="")),NOT(AND($B71="",$C71="",$G71="",$H71="",$J71="",$K71=""))),"Er ontbreken gegevens",IF(AND(NOT(ISBLANK($B71)),$O71&lt;&gt;$K$1),IF(AND($O71&lt;$K$1,$J71="Openstaand"),"Op beginbalans","Datum buiten boekjaar"),""))</f>
        <v/>
      </c>
      <c r="M71" s="111"/>
      <c r="N71" t="str">
        <f t="shared" ref="N71:N134" si="4">IFERROR(IF($B71="","",MONTH($B$6:$B$500)),0)</f>
        <v/>
      </c>
      <c r="O71" s="5" t="str">
        <f t="shared" ref="O71:O134" si="5">IFERROR(IF($B71="","",YEAR($B$6:$B$500)),0)</f>
        <v/>
      </c>
    </row>
    <row r="72" spans="2:17" ht="12.75" customHeight="1" x14ac:dyDescent="0.3">
      <c r="B72" s="202"/>
      <c r="C72" s="202"/>
      <c r="D72" s="210"/>
      <c r="E72" s="210"/>
      <c r="F72" s="210"/>
      <c r="G72" s="211"/>
      <c r="H72" s="214"/>
      <c r="I72" s="207"/>
      <c r="J72" s="208"/>
      <c r="K72" s="209"/>
      <c r="L72" s="128" t="str">
        <f t="shared" si="3"/>
        <v/>
      </c>
      <c r="M72" s="111"/>
      <c r="N72" t="str">
        <f t="shared" si="4"/>
        <v/>
      </c>
      <c r="O72" s="5" t="str">
        <f t="shared" si="5"/>
        <v/>
      </c>
    </row>
    <row r="73" spans="2:17" ht="12.75" customHeight="1" x14ac:dyDescent="0.3">
      <c r="B73" s="202"/>
      <c r="C73" s="202"/>
      <c r="D73" s="210"/>
      <c r="E73" s="210"/>
      <c r="F73" s="210"/>
      <c r="G73" s="211"/>
      <c r="H73" s="214"/>
      <c r="I73" s="207"/>
      <c r="J73" s="208"/>
      <c r="K73" s="209"/>
      <c r="L73" s="128" t="str">
        <f t="shared" si="3"/>
        <v/>
      </c>
      <c r="M73" s="111"/>
      <c r="N73" t="str">
        <f t="shared" si="4"/>
        <v/>
      </c>
      <c r="O73" s="5" t="str">
        <f t="shared" si="5"/>
        <v/>
      </c>
    </row>
    <row r="74" spans="2:17" ht="12.75" customHeight="1" x14ac:dyDescent="0.3">
      <c r="B74" s="202"/>
      <c r="C74" s="202"/>
      <c r="D74" s="210"/>
      <c r="E74" s="210"/>
      <c r="F74" s="210"/>
      <c r="G74" s="211"/>
      <c r="H74" s="214"/>
      <c r="I74" s="207"/>
      <c r="J74" s="208"/>
      <c r="K74" s="209"/>
      <c r="L74" s="128" t="str">
        <f t="shared" si="3"/>
        <v/>
      </c>
      <c r="M74" s="111"/>
      <c r="N74" t="str">
        <f t="shared" si="4"/>
        <v/>
      </c>
      <c r="O74" s="5" t="str">
        <f t="shared" si="5"/>
        <v/>
      </c>
    </row>
    <row r="75" spans="2:17" ht="12.75" customHeight="1" x14ac:dyDescent="0.3">
      <c r="B75" s="202"/>
      <c r="C75" s="202"/>
      <c r="D75" s="210"/>
      <c r="E75" s="210"/>
      <c r="F75" s="210"/>
      <c r="G75" s="211"/>
      <c r="H75" s="214"/>
      <c r="I75" s="207"/>
      <c r="J75" s="208"/>
      <c r="K75" s="209"/>
      <c r="L75" s="128" t="str">
        <f t="shared" si="3"/>
        <v/>
      </c>
      <c r="M75" s="111"/>
      <c r="N75" t="str">
        <f t="shared" si="4"/>
        <v/>
      </c>
      <c r="O75" s="5" t="str">
        <f t="shared" si="5"/>
        <v/>
      </c>
    </row>
    <row r="76" spans="2:17" ht="12.75" customHeight="1" x14ac:dyDescent="0.3">
      <c r="B76" s="202"/>
      <c r="C76" s="202"/>
      <c r="D76" s="210"/>
      <c r="E76" s="210"/>
      <c r="F76" s="210"/>
      <c r="G76" s="211"/>
      <c r="H76" s="214"/>
      <c r="I76" s="207"/>
      <c r="J76" s="208"/>
      <c r="K76" s="209"/>
      <c r="L76" s="128" t="str">
        <f t="shared" si="3"/>
        <v/>
      </c>
      <c r="M76" s="111"/>
      <c r="N76" t="str">
        <f t="shared" si="4"/>
        <v/>
      </c>
      <c r="O76" s="5" t="str">
        <f t="shared" si="5"/>
        <v/>
      </c>
      <c r="P76" s="3"/>
      <c r="Q76" s="3"/>
    </row>
    <row r="77" spans="2:17" ht="12.75" customHeight="1" x14ac:dyDescent="0.3">
      <c r="B77" s="202"/>
      <c r="C77" s="202"/>
      <c r="D77" s="210"/>
      <c r="E77" s="210"/>
      <c r="F77" s="210"/>
      <c r="G77" s="211"/>
      <c r="H77" s="214"/>
      <c r="I77" s="207"/>
      <c r="J77" s="208"/>
      <c r="K77" s="209"/>
      <c r="L77" s="128" t="str">
        <f t="shared" si="3"/>
        <v/>
      </c>
      <c r="M77" s="111"/>
      <c r="N77" t="str">
        <f t="shared" si="4"/>
        <v/>
      </c>
      <c r="O77" s="5" t="str">
        <f t="shared" si="5"/>
        <v/>
      </c>
    </row>
    <row r="78" spans="2:17" ht="12.75" customHeight="1" x14ac:dyDescent="0.3">
      <c r="B78" s="202"/>
      <c r="C78" s="202"/>
      <c r="D78" s="210"/>
      <c r="E78" s="210"/>
      <c r="F78" s="210"/>
      <c r="G78" s="211"/>
      <c r="H78" s="214"/>
      <c r="I78" s="207"/>
      <c r="J78" s="208"/>
      <c r="K78" s="209"/>
      <c r="L78" s="128" t="str">
        <f t="shared" si="3"/>
        <v/>
      </c>
      <c r="M78" s="111"/>
      <c r="N78" t="str">
        <f t="shared" si="4"/>
        <v/>
      </c>
      <c r="O78" s="5" t="str">
        <f t="shared" si="5"/>
        <v/>
      </c>
    </row>
    <row r="79" spans="2:17" ht="12.75" customHeight="1" x14ac:dyDescent="0.3">
      <c r="B79" s="202"/>
      <c r="C79" s="202"/>
      <c r="D79" s="210"/>
      <c r="E79" s="210"/>
      <c r="F79" s="210"/>
      <c r="G79" s="211"/>
      <c r="H79" s="214"/>
      <c r="I79" s="207"/>
      <c r="J79" s="208"/>
      <c r="K79" s="209"/>
      <c r="L79" s="128" t="str">
        <f t="shared" si="3"/>
        <v/>
      </c>
      <c r="M79" s="111"/>
      <c r="N79" t="str">
        <f t="shared" si="4"/>
        <v/>
      </c>
      <c r="O79" s="5" t="str">
        <f t="shared" si="5"/>
        <v/>
      </c>
    </row>
    <row r="80" spans="2:17" ht="12.75" customHeight="1" x14ac:dyDescent="0.3">
      <c r="B80" s="202"/>
      <c r="C80" s="202"/>
      <c r="D80" s="210"/>
      <c r="E80" s="210"/>
      <c r="F80" s="210"/>
      <c r="G80" s="211"/>
      <c r="H80" s="214"/>
      <c r="I80" s="207"/>
      <c r="J80" s="208"/>
      <c r="K80" s="209"/>
      <c r="L80" s="128" t="str">
        <f t="shared" si="3"/>
        <v/>
      </c>
      <c r="M80" s="111"/>
      <c r="N80" t="str">
        <f t="shared" si="4"/>
        <v/>
      </c>
      <c r="O80" s="5" t="str">
        <f t="shared" si="5"/>
        <v/>
      </c>
    </row>
    <row r="81" spans="2:15" ht="12.75" customHeight="1" x14ac:dyDescent="0.3">
      <c r="B81" s="202"/>
      <c r="C81" s="202"/>
      <c r="D81" s="210"/>
      <c r="E81" s="210"/>
      <c r="F81" s="210"/>
      <c r="G81" s="211"/>
      <c r="H81" s="214"/>
      <c r="I81" s="207"/>
      <c r="J81" s="208"/>
      <c r="K81" s="209"/>
      <c r="L81" s="128" t="str">
        <f t="shared" si="3"/>
        <v/>
      </c>
      <c r="M81" s="111"/>
      <c r="N81" t="str">
        <f t="shared" si="4"/>
        <v/>
      </c>
      <c r="O81" s="5" t="str">
        <f t="shared" si="5"/>
        <v/>
      </c>
    </row>
    <row r="82" spans="2:15" ht="12.75" customHeight="1" x14ac:dyDescent="0.3">
      <c r="B82" s="202"/>
      <c r="C82" s="202"/>
      <c r="D82" s="210"/>
      <c r="E82" s="210"/>
      <c r="F82" s="210"/>
      <c r="G82" s="211"/>
      <c r="H82" s="214"/>
      <c r="I82" s="207"/>
      <c r="J82" s="208"/>
      <c r="K82" s="209"/>
      <c r="L82" s="128" t="str">
        <f t="shared" si="3"/>
        <v/>
      </c>
      <c r="M82" s="111"/>
      <c r="N82" t="str">
        <f t="shared" si="4"/>
        <v/>
      </c>
      <c r="O82" s="5" t="str">
        <f t="shared" si="5"/>
        <v/>
      </c>
    </row>
    <row r="83" spans="2:15" ht="12.75" customHeight="1" x14ac:dyDescent="0.3">
      <c r="B83" s="202"/>
      <c r="C83" s="202"/>
      <c r="D83" s="210"/>
      <c r="E83" s="210"/>
      <c r="F83" s="210"/>
      <c r="G83" s="211"/>
      <c r="H83" s="214"/>
      <c r="I83" s="207"/>
      <c r="J83" s="208"/>
      <c r="K83" s="209"/>
      <c r="L83" s="128" t="str">
        <f t="shared" si="3"/>
        <v/>
      </c>
      <c r="M83" s="111"/>
      <c r="N83" t="str">
        <f t="shared" si="4"/>
        <v/>
      </c>
      <c r="O83" s="5" t="str">
        <f t="shared" si="5"/>
        <v/>
      </c>
    </row>
    <row r="84" spans="2:15" ht="12.75" customHeight="1" x14ac:dyDescent="0.3">
      <c r="B84" s="202"/>
      <c r="C84" s="202"/>
      <c r="D84" s="210"/>
      <c r="E84" s="210"/>
      <c r="F84" s="210"/>
      <c r="G84" s="211"/>
      <c r="H84" s="214"/>
      <c r="I84" s="207"/>
      <c r="J84" s="208"/>
      <c r="K84" s="209"/>
      <c r="L84" s="128" t="str">
        <f t="shared" si="3"/>
        <v/>
      </c>
      <c r="M84" s="111"/>
      <c r="N84" t="str">
        <f t="shared" si="4"/>
        <v/>
      </c>
      <c r="O84" s="5" t="str">
        <f t="shared" si="5"/>
        <v/>
      </c>
    </row>
    <row r="85" spans="2:15" ht="12.75" customHeight="1" x14ac:dyDescent="0.3">
      <c r="B85" s="202"/>
      <c r="C85" s="202"/>
      <c r="D85" s="210"/>
      <c r="E85" s="210"/>
      <c r="F85" s="210"/>
      <c r="G85" s="211"/>
      <c r="H85" s="214"/>
      <c r="I85" s="207"/>
      <c r="J85" s="208"/>
      <c r="K85" s="209"/>
      <c r="L85" s="128" t="str">
        <f t="shared" si="3"/>
        <v/>
      </c>
      <c r="M85" s="111"/>
      <c r="N85" t="str">
        <f t="shared" si="4"/>
        <v/>
      </c>
      <c r="O85" s="5" t="str">
        <f t="shared" si="5"/>
        <v/>
      </c>
    </row>
    <row r="86" spans="2:15" ht="12.75" customHeight="1" x14ac:dyDescent="0.3">
      <c r="B86" s="202"/>
      <c r="C86" s="202"/>
      <c r="D86" s="210"/>
      <c r="E86" s="210"/>
      <c r="F86" s="210"/>
      <c r="G86" s="211"/>
      <c r="H86" s="214"/>
      <c r="I86" s="207"/>
      <c r="J86" s="208"/>
      <c r="K86" s="209"/>
      <c r="L86" s="128" t="str">
        <f t="shared" si="3"/>
        <v/>
      </c>
      <c r="M86" s="111"/>
      <c r="N86" t="str">
        <f t="shared" si="4"/>
        <v/>
      </c>
      <c r="O86" s="5" t="str">
        <f t="shared" si="5"/>
        <v/>
      </c>
    </row>
    <row r="87" spans="2:15" ht="12.75" customHeight="1" x14ac:dyDescent="0.3">
      <c r="B87" s="202"/>
      <c r="C87" s="202"/>
      <c r="D87" s="210"/>
      <c r="E87" s="210"/>
      <c r="F87" s="210"/>
      <c r="G87" s="211"/>
      <c r="H87" s="214"/>
      <c r="I87" s="207"/>
      <c r="J87" s="208"/>
      <c r="K87" s="209"/>
      <c r="L87" s="128" t="str">
        <f t="shared" si="3"/>
        <v/>
      </c>
      <c r="M87" s="111"/>
      <c r="N87" t="str">
        <f t="shared" si="4"/>
        <v/>
      </c>
      <c r="O87" s="5" t="str">
        <f t="shared" si="5"/>
        <v/>
      </c>
    </row>
    <row r="88" spans="2:15" ht="12.75" customHeight="1" x14ac:dyDescent="0.3">
      <c r="B88" s="202"/>
      <c r="C88" s="202"/>
      <c r="D88" s="210"/>
      <c r="E88" s="210"/>
      <c r="F88" s="210"/>
      <c r="G88" s="211"/>
      <c r="H88" s="214"/>
      <c r="I88" s="207"/>
      <c r="J88" s="208"/>
      <c r="K88" s="209"/>
      <c r="L88" s="128" t="str">
        <f t="shared" si="3"/>
        <v/>
      </c>
      <c r="M88" s="111"/>
      <c r="N88" t="str">
        <f t="shared" si="4"/>
        <v/>
      </c>
      <c r="O88" s="5" t="str">
        <f t="shared" si="5"/>
        <v/>
      </c>
    </row>
    <row r="89" spans="2:15" ht="12.75" customHeight="1" x14ac:dyDescent="0.3">
      <c r="B89" s="202"/>
      <c r="C89" s="202"/>
      <c r="D89" s="210"/>
      <c r="E89" s="210"/>
      <c r="F89" s="210"/>
      <c r="G89" s="211"/>
      <c r="H89" s="214"/>
      <c r="I89" s="207"/>
      <c r="J89" s="208"/>
      <c r="K89" s="209"/>
      <c r="L89" s="128" t="str">
        <f t="shared" si="3"/>
        <v/>
      </c>
      <c r="M89" s="111"/>
      <c r="N89" t="str">
        <f t="shared" si="4"/>
        <v/>
      </c>
      <c r="O89" s="5" t="str">
        <f t="shared" si="5"/>
        <v/>
      </c>
    </row>
    <row r="90" spans="2:15" ht="12.75" customHeight="1" x14ac:dyDescent="0.3">
      <c r="B90" s="202"/>
      <c r="C90" s="202"/>
      <c r="D90" s="210"/>
      <c r="E90" s="210"/>
      <c r="F90" s="210"/>
      <c r="G90" s="211"/>
      <c r="H90" s="214"/>
      <c r="I90" s="207"/>
      <c r="J90" s="208"/>
      <c r="K90" s="209"/>
      <c r="L90" s="128" t="str">
        <f t="shared" si="3"/>
        <v/>
      </c>
      <c r="M90" s="111"/>
      <c r="N90" t="str">
        <f t="shared" si="4"/>
        <v/>
      </c>
      <c r="O90" s="5" t="str">
        <f t="shared" si="5"/>
        <v/>
      </c>
    </row>
    <row r="91" spans="2:15" ht="12.75" customHeight="1" x14ac:dyDescent="0.3">
      <c r="B91" s="202"/>
      <c r="C91" s="202"/>
      <c r="D91" s="210"/>
      <c r="E91" s="210"/>
      <c r="F91" s="210"/>
      <c r="G91" s="211"/>
      <c r="H91" s="214"/>
      <c r="I91" s="207"/>
      <c r="J91" s="208"/>
      <c r="K91" s="209"/>
      <c r="L91" s="128" t="str">
        <f t="shared" si="3"/>
        <v/>
      </c>
      <c r="M91" s="111"/>
      <c r="N91" t="str">
        <f t="shared" si="4"/>
        <v/>
      </c>
      <c r="O91" s="5" t="str">
        <f t="shared" si="5"/>
        <v/>
      </c>
    </row>
    <row r="92" spans="2:15" ht="12.75" customHeight="1" x14ac:dyDescent="0.3">
      <c r="B92" s="202"/>
      <c r="C92" s="202"/>
      <c r="D92" s="210"/>
      <c r="E92" s="210"/>
      <c r="F92" s="210"/>
      <c r="G92" s="211"/>
      <c r="H92" s="214"/>
      <c r="I92" s="207"/>
      <c r="J92" s="208"/>
      <c r="K92" s="209"/>
      <c r="L92" s="128" t="str">
        <f t="shared" si="3"/>
        <v/>
      </c>
      <c r="M92" s="111"/>
      <c r="N92" t="str">
        <f t="shared" si="4"/>
        <v/>
      </c>
      <c r="O92" s="5" t="str">
        <f t="shared" si="5"/>
        <v/>
      </c>
    </row>
    <row r="93" spans="2:15" ht="12.75" customHeight="1" x14ac:dyDescent="0.3">
      <c r="B93" s="202"/>
      <c r="C93" s="202"/>
      <c r="D93" s="210"/>
      <c r="E93" s="210"/>
      <c r="F93" s="210"/>
      <c r="G93" s="211"/>
      <c r="H93" s="214"/>
      <c r="I93" s="207"/>
      <c r="J93" s="208"/>
      <c r="K93" s="209"/>
      <c r="L93" s="128" t="str">
        <f t="shared" si="3"/>
        <v/>
      </c>
      <c r="M93" s="111"/>
      <c r="N93" t="str">
        <f t="shared" si="4"/>
        <v/>
      </c>
      <c r="O93" s="5" t="str">
        <f t="shared" si="5"/>
        <v/>
      </c>
    </row>
    <row r="94" spans="2:15" ht="12.75" customHeight="1" x14ac:dyDescent="0.3">
      <c r="B94" s="202"/>
      <c r="C94" s="202"/>
      <c r="D94" s="210"/>
      <c r="E94" s="210"/>
      <c r="F94" s="210"/>
      <c r="G94" s="211"/>
      <c r="H94" s="214"/>
      <c r="I94" s="207"/>
      <c r="J94" s="208"/>
      <c r="K94" s="209"/>
      <c r="L94" s="128" t="str">
        <f t="shared" si="3"/>
        <v/>
      </c>
      <c r="M94" s="111"/>
      <c r="N94" t="str">
        <f t="shared" si="4"/>
        <v/>
      </c>
      <c r="O94" s="5" t="str">
        <f t="shared" si="5"/>
        <v/>
      </c>
    </row>
    <row r="95" spans="2:15" ht="12.75" customHeight="1" x14ac:dyDescent="0.3">
      <c r="B95" s="202"/>
      <c r="C95" s="202"/>
      <c r="D95" s="210"/>
      <c r="E95" s="210"/>
      <c r="F95" s="210"/>
      <c r="G95" s="211"/>
      <c r="H95" s="214"/>
      <c r="I95" s="207"/>
      <c r="J95" s="208"/>
      <c r="K95" s="209"/>
      <c r="L95" s="128" t="str">
        <f t="shared" si="3"/>
        <v/>
      </c>
      <c r="M95" s="111"/>
      <c r="N95" t="str">
        <f t="shared" si="4"/>
        <v/>
      </c>
      <c r="O95" s="5" t="str">
        <f t="shared" si="5"/>
        <v/>
      </c>
    </row>
    <row r="96" spans="2:15" ht="12.75" customHeight="1" x14ac:dyDescent="0.3">
      <c r="B96" s="202"/>
      <c r="C96" s="202"/>
      <c r="D96" s="210"/>
      <c r="E96" s="210"/>
      <c r="F96" s="210"/>
      <c r="G96" s="211"/>
      <c r="H96" s="214"/>
      <c r="I96" s="207"/>
      <c r="J96" s="208"/>
      <c r="K96" s="209"/>
      <c r="L96" s="128" t="str">
        <f t="shared" si="3"/>
        <v/>
      </c>
      <c r="M96" s="111"/>
      <c r="N96" t="str">
        <f t="shared" si="4"/>
        <v/>
      </c>
      <c r="O96" s="5" t="str">
        <f t="shared" si="5"/>
        <v/>
      </c>
    </row>
    <row r="97" spans="2:15" ht="12.75" customHeight="1" x14ac:dyDescent="0.3">
      <c r="B97" s="202"/>
      <c r="C97" s="202"/>
      <c r="D97" s="210"/>
      <c r="E97" s="210"/>
      <c r="F97" s="210"/>
      <c r="G97" s="211"/>
      <c r="H97" s="214"/>
      <c r="I97" s="207"/>
      <c r="J97" s="208"/>
      <c r="K97" s="209"/>
      <c r="L97" s="128" t="str">
        <f t="shared" si="3"/>
        <v/>
      </c>
      <c r="M97" s="111"/>
      <c r="N97" t="str">
        <f t="shared" si="4"/>
        <v/>
      </c>
      <c r="O97" s="5" t="str">
        <f t="shared" si="5"/>
        <v/>
      </c>
    </row>
    <row r="98" spans="2:15" ht="12.75" customHeight="1" x14ac:dyDescent="0.3">
      <c r="B98" s="202"/>
      <c r="C98" s="202"/>
      <c r="D98" s="210"/>
      <c r="E98" s="210"/>
      <c r="F98" s="210"/>
      <c r="G98" s="211"/>
      <c r="H98" s="214"/>
      <c r="I98" s="207"/>
      <c r="J98" s="208"/>
      <c r="K98" s="209"/>
      <c r="L98" s="128" t="str">
        <f t="shared" si="3"/>
        <v/>
      </c>
      <c r="M98" s="111"/>
      <c r="N98" t="str">
        <f t="shared" si="4"/>
        <v/>
      </c>
      <c r="O98" s="5" t="str">
        <f t="shared" si="5"/>
        <v/>
      </c>
    </row>
    <row r="99" spans="2:15" ht="12.75" customHeight="1" x14ac:dyDescent="0.3">
      <c r="B99" s="202"/>
      <c r="C99" s="202"/>
      <c r="D99" s="210"/>
      <c r="E99" s="210"/>
      <c r="F99" s="210"/>
      <c r="G99" s="211"/>
      <c r="H99" s="214"/>
      <c r="I99" s="207"/>
      <c r="J99" s="208"/>
      <c r="K99" s="209"/>
      <c r="L99" s="128" t="str">
        <f t="shared" si="3"/>
        <v/>
      </c>
      <c r="M99" s="111"/>
      <c r="N99" t="str">
        <f t="shared" si="4"/>
        <v/>
      </c>
      <c r="O99" s="5" t="str">
        <f t="shared" si="5"/>
        <v/>
      </c>
    </row>
    <row r="100" spans="2:15" ht="12.75" customHeight="1" x14ac:dyDescent="0.3">
      <c r="B100" s="202"/>
      <c r="C100" s="202"/>
      <c r="D100" s="210"/>
      <c r="E100" s="210"/>
      <c r="F100" s="210"/>
      <c r="G100" s="211"/>
      <c r="H100" s="214"/>
      <c r="I100" s="207"/>
      <c r="J100" s="208"/>
      <c r="K100" s="209"/>
      <c r="L100" s="128" t="str">
        <f t="shared" si="3"/>
        <v/>
      </c>
      <c r="M100" s="111"/>
      <c r="N100" t="str">
        <f t="shared" si="4"/>
        <v/>
      </c>
      <c r="O100" s="5" t="str">
        <f t="shared" si="5"/>
        <v/>
      </c>
    </row>
    <row r="101" spans="2:15" ht="12.75" customHeight="1" x14ac:dyDescent="0.3">
      <c r="B101" s="202"/>
      <c r="C101" s="202"/>
      <c r="D101" s="210"/>
      <c r="E101" s="210"/>
      <c r="F101" s="210"/>
      <c r="G101" s="211"/>
      <c r="H101" s="214"/>
      <c r="I101" s="207"/>
      <c r="J101" s="208"/>
      <c r="K101" s="209"/>
      <c r="L101" s="128" t="str">
        <f t="shared" si="3"/>
        <v/>
      </c>
      <c r="M101" s="111"/>
      <c r="N101" t="str">
        <f t="shared" si="4"/>
        <v/>
      </c>
      <c r="O101" s="5" t="str">
        <f t="shared" si="5"/>
        <v/>
      </c>
    </row>
    <row r="102" spans="2:15" ht="12.75" customHeight="1" x14ac:dyDescent="0.3">
      <c r="B102" s="202"/>
      <c r="C102" s="202"/>
      <c r="D102" s="210"/>
      <c r="E102" s="210"/>
      <c r="F102" s="210"/>
      <c r="G102" s="211"/>
      <c r="H102" s="214"/>
      <c r="I102" s="207"/>
      <c r="J102" s="208"/>
      <c r="K102" s="209"/>
      <c r="L102" s="128" t="str">
        <f t="shared" si="3"/>
        <v/>
      </c>
      <c r="M102" s="111"/>
      <c r="N102" t="str">
        <f t="shared" si="4"/>
        <v/>
      </c>
      <c r="O102" s="5" t="str">
        <f t="shared" si="5"/>
        <v/>
      </c>
    </row>
    <row r="103" spans="2:15" ht="12.75" customHeight="1" x14ac:dyDescent="0.3">
      <c r="B103" s="202"/>
      <c r="C103" s="202"/>
      <c r="D103" s="210"/>
      <c r="E103" s="210"/>
      <c r="F103" s="210"/>
      <c r="G103" s="211"/>
      <c r="H103" s="214"/>
      <c r="I103" s="207"/>
      <c r="J103" s="208"/>
      <c r="K103" s="209"/>
      <c r="L103" s="128" t="str">
        <f t="shared" si="3"/>
        <v/>
      </c>
      <c r="M103" s="111"/>
      <c r="N103" t="str">
        <f t="shared" si="4"/>
        <v/>
      </c>
      <c r="O103" s="5" t="str">
        <f t="shared" si="5"/>
        <v/>
      </c>
    </row>
    <row r="104" spans="2:15" ht="12.75" customHeight="1" x14ac:dyDescent="0.3">
      <c r="B104" s="202"/>
      <c r="C104" s="202"/>
      <c r="D104" s="210"/>
      <c r="E104" s="210"/>
      <c r="F104" s="210"/>
      <c r="G104" s="211"/>
      <c r="H104" s="214"/>
      <c r="I104" s="207"/>
      <c r="J104" s="208"/>
      <c r="K104" s="209"/>
      <c r="L104" s="128" t="str">
        <f t="shared" si="3"/>
        <v/>
      </c>
      <c r="M104" s="111"/>
      <c r="N104" t="str">
        <f t="shared" si="4"/>
        <v/>
      </c>
      <c r="O104" s="5" t="str">
        <f t="shared" si="5"/>
        <v/>
      </c>
    </row>
    <row r="105" spans="2:15" ht="12.75" customHeight="1" x14ac:dyDescent="0.3">
      <c r="B105" s="202"/>
      <c r="C105" s="202"/>
      <c r="D105" s="210"/>
      <c r="E105" s="210"/>
      <c r="F105" s="210"/>
      <c r="G105" s="211"/>
      <c r="H105" s="214"/>
      <c r="I105" s="207"/>
      <c r="J105" s="208"/>
      <c r="K105" s="209"/>
      <c r="L105" s="128" t="str">
        <f t="shared" si="3"/>
        <v/>
      </c>
      <c r="M105" s="111"/>
      <c r="N105" t="str">
        <f t="shared" si="4"/>
        <v/>
      </c>
      <c r="O105" s="5" t="str">
        <f t="shared" si="5"/>
        <v/>
      </c>
    </row>
    <row r="106" spans="2:15" ht="12.75" customHeight="1" x14ac:dyDescent="0.3">
      <c r="B106" s="202"/>
      <c r="C106" s="202"/>
      <c r="D106" s="210"/>
      <c r="E106" s="210"/>
      <c r="F106" s="210"/>
      <c r="G106" s="211"/>
      <c r="H106" s="214"/>
      <c r="I106" s="207"/>
      <c r="J106" s="208"/>
      <c r="K106" s="209"/>
      <c r="L106" s="128" t="str">
        <f t="shared" si="3"/>
        <v/>
      </c>
      <c r="M106" s="111"/>
      <c r="N106" t="str">
        <f t="shared" si="4"/>
        <v/>
      </c>
      <c r="O106" s="5" t="str">
        <f t="shared" si="5"/>
        <v/>
      </c>
    </row>
    <row r="107" spans="2:15" ht="12.75" customHeight="1" x14ac:dyDescent="0.3">
      <c r="B107" s="202"/>
      <c r="C107" s="202"/>
      <c r="D107" s="210"/>
      <c r="E107" s="210"/>
      <c r="F107" s="210"/>
      <c r="G107" s="211"/>
      <c r="H107" s="214"/>
      <c r="I107" s="207"/>
      <c r="J107" s="208"/>
      <c r="K107" s="209"/>
      <c r="L107" s="128" t="str">
        <f t="shared" si="3"/>
        <v/>
      </c>
      <c r="M107" s="111"/>
      <c r="N107" t="str">
        <f t="shared" si="4"/>
        <v/>
      </c>
      <c r="O107" s="5" t="str">
        <f t="shared" si="5"/>
        <v/>
      </c>
    </row>
    <row r="108" spans="2:15" ht="12.75" customHeight="1" x14ac:dyDescent="0.3">
      <c r="B108" s="202"/>
      <c r="C108" s="202"/>
      <c r="D108" s="210"/>
      <c r="E108" s="210"/>
      <c r="F108" s="210"/>
      <c r="G108" s="211"/>
      <c r="H108" s="214"/>
      <c r="I108" s="207"/>
      <c r="J108" s="208"/>
      <c r="K108" s="209"/>
      <c r="L108" s="128" t="str">
        <f t="shared" si="3"/>
        <v/>
      </c>
      <c r="M108" s="111"/>
      <c r="N108" t="str">
        <f t="shared" si="4"/>
        <v/>
      </c>
      <c r="O108" s="5" t="str">
        <f t="shared" si="5"/>
        <v/>
      </c>
    </row>
    <row r="109" spans="2:15" ht="12.75" customHeight="1" x14ac:dyDescent="0.3">
      <c r="B109" s="202"/>
      <c r="C109" s="202"/>
      <c r="D109" s="210"/>
      <c r="E109" s="210"/>
      <c r="F109" s="210"/>
      <c r="G109" s="211"/>
      <c r="H109" s="214"/>
      <c r="I109" s="207"/>
      <c r="J109" s="208"/>
      <c r="K109" s="209"/>
      <c r="L109" s="128" t="str">
        <f t="shared" si="3"/>
        <v/>
      </c>
      <c r="M109" s="111"/>
      <c r="N109" t="str">
        <f t="shared" si="4"/>
        <v/>
      </c>
      <c r="O109" s="5" t="str">
        <f t="shared" si="5"/>
        <v/>
      </c>
    </row>
    <row r="110" spans="2:15" ht="12.75" customHeight="1" x14ac:dyDescent="0.3">
      <c r="B110" s="202"/>
      <c r="C110" s="202"/>
      <c r="D110" s="210"/>
      <c r="E110" s="210"/>
      <c r="F110" s="210"/>
      <c r="G110" s="211"/>
      <c r="H110" s="214"/>
      <c r="I110" s="207"/>
      <c r="J110" s="208"/>
      <c r="K110" s="209"/>
      <c r="L110" s="128" t="str">
        <f t="shared" si="3"/>
        <v/>
      </c>
      <c r="M110" s="111"/>
      <c r="N110" t="str">
        <f t="shared" si="4"/>
        <v/>
      </c>
      <c r="O110" s="5" t="str">
        <f t="shared" si="5"/>
        <v/>
      </c>
    </row>
    <row r="111" spans="2:15" ht="12.75" customHeight="1" x14ac:dyDescent="0.3">
      <c r="B111" s="202"/>
      <c r="C111" s="202"/>
      <c r="D111" s="210"/>
      <c r="E111" s="210"/>
      <c r="F111" s="210"/>
      <c r="G111" s="211"/>
      <c r="H111" s="214"/>
      <c r="I111" s="207"/>
      <c r="J111" s="208"/>
      <c r="K111" s="209"/>
      <c r="L111" s="128" t="str">
        <f t="shared" si="3"/>
        <v/>
      </c>
      <c r="M111" s="111"/>
      <c r="N111" t="str">
        <f t="shared" si="4"/>
        <v/>
      </c>
      <c r="O111" s="5" t="str">
        <f t="shared" si="5"/>
        <v/>
      </c>
    </row>
    <row r="112" spans="2:15" ht="12.75" customHeight="1" x14ac:dyDescent="0.3">
      <c r="B112" s="202"/>
      <c r="C112" s="202"/>
      <c r="D112" s="210"/>
      <c r="E112" s="210"/>
      <c r="F112" s="210"/>
      <c r="G112" s="211"/>
      <c r="H112" s="214"/>
      <c r="I112" s="207"/>
      <c r="J112" s="208"/>
      <c r="K112" s="209"/>
      <c r="L112" s="128" t="str">
        <f t="shared" si="3"/>
        <v/>
      </c>
      <c r="M112" s="111"/>
      <c r="N112" t="str">
        <f t="shared" si="4"/>
        <v/>
      </c>
      <c r="O112" s="5" t="str">
        <f t="shared" si="5"/>
        <v/>
      </c>
    </row>
    <row r="113" spans="2:15" ht="12.75" customHeight="1" x14ac:dyDescent="0.3">
      <c r="B113" s="202"/>
      <c r="C113" s="202"/>
      <c r="D113" s="210"/>
      <c r="E113" s="210"/>
      <c r="F113" s="210"/>
      <c r="G113" s="211"/>
      <c r="H113" s="214"/>
      <c r="I113" s="207"/>
      <c r="J113" s="208"/>
      <c r="K113" s="209"/>
      <c r="L113" s="128" t="str">
        <f t="shared" si="3"/>
        <v/>
      </c>
      <c r="M113" s="111"/>
      <c r="N113" t="str">
        <f t="shared" si="4"/>
        <v/>
      </c>
      <c r="O113" s="5" t="str">
        <f t="shared" si="5"/>
        <v/>
      </c>
    </row>
    <row r="114" spans="2:15" ht="12.75" customHeight="1" x14ac:dyDescent="0.3">
      <c r="B114" s="202"/>
      <c r="C114" s="202"/>
      <c r="D114" s="210"/>
      <c r="E114" s="210"/>
      <c r="F114" s="210"/>
      <c r="G114" s="211"/>
      <c r="H114" s="214"/>
      <c r="I114" s="207"/>
      <c r="J114" s="208"/>
      <c r="K114" s="209"/>
      <c r="L114" s="128" t="str">
        <f t="shared" si="3"/>
        <v/>
      </c>
      <c r="M114" s="111"/>
      <c r="N114" t="str">
        <f t="shared" si="4"/>
        <v/>
      </c>
      <c r="O114" s="5" t="str">
        <f t="shared" si="5"/>
        <v/>
      </c>
    </row>
    <row r="115" spans="2:15" ht="12.75" customHeight="1" x14ac:dyDescent="0.3">
      <c r="B115" s="202"/>
      <c r="C115" s="202"/>
      <c r="D115" s="210"/>
      <c r="E115" s="210"/>
      <c r="F115" s="210"/>
      <c r="G115" s="211"/>
      <c r="H115" s="214"/>
      <c r="I115" s="207"/>
      <c r="J115" s="208"/>
      <c r="K115" s="209"/>
      <c r="L115" s="128" t="str">
        <f t="shared" si="3"/>
        <v/>
      </c>
      <c r="M115" s="111"/>
      <c r="N115" t="str">
        <f t="shared" si="4"/>
        <v/>
      </c>
      <c r="O115" s="5" t="str">
        <f t="shared" si="5"/>
        <v/>
      </c>
    </row>
    <row r="116" spans="2:15" ht="12.75" customHeight="1" x14ac:dyDescent="0.3">
      <c r="B116" s="202"/>
      <c r="C116" s="202"/>
      <c r="D116" s="210"/>
      <c r="E116" s="210"/>
      <c r="F116" s="210"/>
      <c r="G116" s="211"/>
      <c r="H116" s="214"/>
      <c r="I116" s="207"/>
      <c r="J116" s="208"/>
      <c r="K116" s="209"/>
      <c r="L116" s="128" t="str">
        <f t="shared" si="3"/>
        <v/>
      </c>
      <c r="M116" s="111"/>
      <c r="N116" t="str">
        <f t="shared" si="4"/>
        <v/>
      </c>
      <c r="O116" s="5" t="str">
        <f t="shared" si="5"/>
        <v/>
      </c>
    </row>
    <row r="117" spans="2:15" ht="12.75" customHeight="1" x14ac:dyDescent="0.3">
      <c r="B117" s="202"/>
      <c r="C117" s="202"/>
      <c r="D117" s="210"/>
      <c r="E117" s="210"/>
      <c r="F117" s="210"/>
      <c r="G117" s="211"/>
      <c r="H117" s="214"/>
      <c r="I117" s="207"/>
      <c r="J117" s="208"/>
      <c r="K117" s="209"/>
      <c r="L117" s="128" t="str">
        <f t="shared" si="3"/>
        <v/>
      </c>
      <c r="M117" s="111"/>
      <c r="N117" t="str">
        <f t="shared" si="4"/>
        <v/>
      </c>
      <c r="O117" s="5" t="str">
        <f t="shared" si="5"/>
        <v/>
      </c>
    </row>
    <row r="118" spans="2:15" ht="12.75" customHeight="1" x14ac:dyDescent="0.3">
      <c r="B118" s="202"/>
      <c r="C118" s="202"/>
      <c r="D118" s="210"/>
      <c r="E118" s="210"/>
      <c r="F118" s="210"/>
      <c r="G118" s="211"/>
      <c r="H118" s="214"/>
      <c r="I118" s="207"/>
      <c r="J118" s="208"/>
      <c r="K118" s="209"/>
      <c r="L118" s="128" t="str">
        <f t="shared" si="3"/>
        <v/>
      </c>
      <c r="M118" s="111"/>
      <c r="N118" t="str">
        <f t="shared" si="4"/>
        <v/>
      </c>
      <c r="O118" s="5" t="str">
        <f t="shared" si="5"/>
        <v/>
      </c>
    </row>
    <row r="119" spans="2:15" ht="12.75" customHeight="1" x14ac:dyDescent="0.3">
      <c r="B119" s="202"/>
      <c r="C119" s="202"/>
      <c r="D119" s="210"/>
      <c r="E119" s="210"/>
      <c r="F119" s="210"/>
      <c r="G119" s="211"/>
      <c r="H119" s="214"/>
      <c r="I119" s="207"/>
      <c r="J119" s="208"/>
      <c r="K119" s="209"/>
      <c r="L119" s="128" t="str">
        <f t="shared" si="3"/>
        <v/>
      </c>
      <c r="M119" s="111"/>
      <c r="N119" t="str">
        <f t="shared" si="4"/>
        <v/>
      </c>
      <c r="O119" s="5" t="str">
        <f t="shared" si="5"/>
        <v/>
      </c>
    </row>
    <row r="120" spans="2:15" ht="12.75" customHeight="1" x14ac:dyDescent="0.3">
      <c r="B120" s="202"/>
      <c r="C120" s="202"/>
      <c r="D120" s="210"/>
      <c r="E120" s="210"/>
      <c r="F120" s="210"/>
      <c r="G120" s="211"/>
      <c r="H120" s="214"/>
      <c r="I120" s="207"/>
      <c r="J120" s="208"/>
      <c r="K120" s="209"/>
      <c r="L120" s="128" t="str">
        <f t="shared" si="3"/>
        <v/>
      </c>
      <c r="M120" s="111"/>
      <c r="N120" t="str">
        <f t="shared" si="4"/>
        <v/>
      </c>
      <c r="O120" s="5" t="str">
        <f t="shared" si="5"/>
        <v/>
      </c>
    </row>
    <row r="121" spans="2:15" ht="12.75" customHeight="1" x14ac:dyDescent="0.3">
      <c r="B121" s="202"/>
      <c r="C121" s="202"/>
      <c r="D121" s="210"/>
      <c r="E121" s="210"/>
      <c r="F121" s="210"/>
      <c r="G121" s="211"/>
      <c r="H121" s="214"/>
      <c r="I121" s="207"/>
      <c r="J121" s="208"/>
      <c r="K121" s="209"/>
      <c r="L121" s="128" t="str">
        <f t="shared" si="3"/>
        <v/>
      </c>
      <c r="M121" s="111"/>
      <c r="N121" t="str">
        <f t="shared" si="4"/>
        <v/>
      </c>
      <c r="O121" s="5" t="str">
        <f t="shared" si="5"/>
        <v/>
      </c>
    </row>
    <row r="122" spans="2:15" ht="12.75" customHeight="1" x14ac:dyDescent="0.3">
      <c r="B122" s="202"/>
      <c r="C122" s="202"/>
      <c r="D122" s="210"/>
      <c r="E122" s="210"/>
      <c r="F122" s="210"/>
      <c r="G122" s="211"/>
      <c r="H122" s="214"/>
      <c r="I122" s="207"/>
      <c r="J122" s="208"/>
      <c r="K122" s="209"/>
      <c r="L122" s="128" t="str">
        <f t="shared" si="3"/>
        <v/>
      </c>
      <c r="M122" s="111"/>
      <c r="N122" t="str">
        <f t="shared" si="4"/>
        <v/>
      </c>
      <c r="O122" s="5" t="str">
        <f t="shared" si="5"/>
        <v/>
      </c>
    </row>
    <row r="123" spans="2:15" ht="12.75" customHeight="1" x14ac:dyDescent="0.3">
      <c r="B123" s="202"/>
      <c r="C123" s="202"/>
      <c r="D123" s="210"/>
      <c r="E123" s="210"/>
      <c r="F123" s="210"/>
      <c r="G123" s="211"/>
      <c r="H123" s="214"/>
      <c r="I123" s="207"/>
      <c r="J123" s="208"/>
      <c r="K123" s="209"/>
      <c r="L123" s="128" t="str">
        <f t="shared" si="3"/>
        <v/>
      </c>
      <c r="M123" s="111"/>
      <c r="N123" t="str">
        <f t="shared" si="4"/>
        <v/>
      </c>
      <c r="O123" s="5" t="str">
        <f t="shared" si="5"/>
        <v/>
      </c>
    </row>
    <row r="124" spans="2:15" ht="12.75" customHeight="1" x14ac:dyDescent="0.3">
      <c r="B124" s="202"/>
      <c r="C124" s="202"/>
      <c r="D124" s="210"/>
      <c r="E124" s="210"/>
      <c r="F124" s="210"/>
      <c r="G124" s="211"/>
      <c r="H124" s="214"/>
      <c r="I124" s="207"/>
      <c r="J124" s="208"/>
      <c r="K124" s="209"/>
      <c r="L124" s="128" t="str">
        <f t="shared" si="3"/>
        <v/>
      </c>
      <c r="M124" s="111"/>
      <c r="N124" t="str">
        <f t="shared" si="4"/>
        <v/>
      </c>
      <c r="O124" s="5" t="str">
        <f t="shared" si="5"/>
        <v/>
      </c>
    </row>
    <row r="125" spans="2:15" ht="12.75" customHeight="1" x14ac:dyDescent="0.3">
      <c r="B125" s="202"/>
      <c r="C125" s="202"/>
      <c r="D125" s="210"/>
      <c r="E125" s="210"/>
      <c r="F125" s="210"/>
      <c r="G125" s="211"/>
      <c r="H125" s="214"/>
      <c r="I125" s="207"/>
      <c r="J125" s="208"/>
      <c r="K125" s="209"/>
      <c r="L125" s="128" t="str">
        <f t="shared" si="3"/>
        <v/>
      </c>
      <c r="M125" s="111"/>
      <c r="N125" t="str">
        <f t="shared" si="4"/>
        <v/>
      </c>
      <c r="O125" s="5" t="str">
        <f t="shared" si="5"/>
        <v/>
      </c>
    </row>
    <row r="126" spans="2:15" ht="12.75" customHeight="1" x14ac:dyDescent="0.3">
      <c r="B126" s="202"/>
      <c r="C126" s="202"/>
      <c r="D126" s="210"/>
      <c r="E126" s="210"/>
      <c r="F126" s="210"/>
      <c r="G126" s="211"/>
      <c r="H126" s="214"/>
      <c r="I126" s="207"/>
      <c r="J126" s="208"/>
      <c r="K126" s="209"/>
      <c r="L126" s="128" t="str">
        <f t="shared" si="3"/>
        <v/>
      </c>
      <c r="M126" s="111"/>
      <c r="N126" t="str">
        <f t="shared" si="4"/>
        <v/>
      </c>
      <c r="O126" s="5" t="str">
        <f t="shared" si="5"/>
        <v/>
      </c>
    </row>
    <row r="127" spans="2:15" ht="12.75" customHeight="1" x14ac:dyDescent="0.3">
      <c r="B127" s="202"/>
      <c r="C127" s="202"/>
      <c r="D127" s="210"/>
      <c r="E127" s="210"/>
      <c r="F127" s="210"/>
      <c r="G127" s="211"/>
      <c r="H127" s="214"/>
      <c r="I127" s="207"/>
      <c r="J127" s="208"/>
      <c r="K127" s="209"/>
      <c r="L127" s="128" t="str">
        <f t="shared" si="3"/>
        <v/>
      </c>
      <c r="M127" s="111"/>
      <c r="N127" t="str">
        <f t="shared" si="4"/>
        <v/>
      </c>
      <c r="O127" s="5" t="str">
        <f t="shared" si="5"/>
        <v/>
      </c>
    </row>
    <row r="128" spans="2:15" ht="12.75" customHeight="1" x14ac:dyDescent="0.3">
      <c r="B128" s="202"/>
      <c r="C128" s="202"/>
      <c r="D128" s="210"/>
      <c r="E128" s="210"/>
      <c r="F128" s="210"/>
      <c r="G128" s="211"/>
      <c r="H128" s="214"/>
      <c r="I128" s="207"/>
      <c r="J128" s="208"/>
      <c r="K128" s="209"/>
      <c r="L128" s="128" t="str">
        <f t="shared" si="3"/>
        <v/>
      </c>
      <c r="M128" s="111"/>
      <c r="N128" t="str">
        <f t="shared" si="4"/>
        <v/>
      </c>
      <c r="O128" s="5" t="str">
        <f t="shared" si="5"/>
        <v/>
      </c>
    </row>
    <row r="129" spans="2:15" ht="12.75" customHeight="1" x14ac:dyDescent="0.3">
      <c r="B129" s="202"/>
      <c r="C129" s="202"/>
      <c r="D129" s="210"/>
      <c r="E129" s="210"/>
      <c r="F129" s="210"/>
      <c r="G129" s="211"/>
      <c r="H129" s="214"/>
      <c r="I129" s="207"/>
      <c r="J129" s="208"/>
      <c r="K129" s="209"/>
      <c r="L129" s="128" t="str">
        <f t="shared" si="3"/>
        <v/>
      </c>
      <c r="M129" s="111"/>
      <c r="N129" t="str">
        <f t="shared" si="4"/>
        <v/>
      </c>
      <c r="O129" s="5" t="str">
        <f t="shared" si="5"/>
        <v/>
      </c>
    </row>
    <row r="130" spans="2:15" ht="12.75" customHeight="1" x14ac:dyDescent="0.3">
      <c r="B130" s="202"/>
      <c r="C130" s="202"/>
      <c r="D130" s="210"/>
      <c r="E130" s="210"/>
      <c r="F130" s="210"/>
      <c r="G130" s="211"/>
      <c r="H130" s="214"/>
      <c r="I130" s="207"/>
      <c r="J130" s="208"/>
      <c r="K130" s="209"/>
      <c r="L130" s="128" t="str">
        <f t="shared" si="3"/>
        <v/>
      </c>
      <c r="M130" s="111"/>
      <c r="N130" t="str">
        <f t="shared" si="4"/>
        <v/>
      </c>
      <c r="O130" s="5" t="str">
        <f t="shared" si="5"/>
        <v/>
      </c>
    </row>
    <row r="131" spans="2:15" ht="12.75" customHeight="1" x14ac:dyDescent="0.3">
      <c r="B131" s="202"/>
      <c r="C131" s="202"/>
      <c r="D131" s="210"/>
      <c r="E131" s="210"/>
      <c r="F131" s="210"/>
      <c r="G131" s="211"/>
      <c r="H131" s="214"/>
      <c r="I131" s="207"/>
      <c r="J131" s="208"/>
      <c r="K131" s="209"/>
      <c r="L131" s="128" t="str">
        <f t="shared" si="3"/>
        <v/>
      </c>
      <c r="M131" s="111"/>
      <c r="N131" t="str">
        <f t="shared" si="4"/>
        <v/>
      </c>
      <c r="O131" s="5" t="str">
        <f t="shared" si="5"/>
        <v/>
      </c>
    </row>
    <row r="132" spans="2:15" ht="12.75" customHeight="1" x14ac:dyDescent="0.3">
      <c r="B132" s="202"/>
      <c r="C132" s="202"/>
      <c r="D132" s="210"/>
      <c r="E132" s="210"/>
      <c r="F132" s="210"/>
      <c r="G132" s="211"/>
      <c r="H132" s="214"/>
      <c r="I132" s="207"/>
      <c r="J132" s="208"/>
      <c r="K132" s="209"/>
      <c r="L132" s="128" t="str">
        <f t="shared" si="3"/>
        <v/>
      </c>
      <c r="M132" s="111"/>
      <c r="N132" t="str">
        <f t="shared" si="4"/>
        <v/>
      </c>
      <c r="O132" s="5" t="str">
        <f t="shared" si="5"/>
        <v/>
      </c>
    </row>
    <row r="133" spans="2:15" ht="12.75" customHeight="1" x14ac:dyDescent="0.3">
      <c r="B133" s="202"/>
      <c r="C133" s="202"/>
      <c r="D133" s="210"/>
      <c r="E133" s="210"/>
      <c r="F133" s="210"/>
      <c r="G133" s="211"/>
      <c r="H133" s="214"/>
      <c r="I133" s="207"/>
      <c r="J133" s="208"/>
      <c r="K133" s="209"/>
      <c r="L133" s="128" t="str">
        <f t="shared" si="3"/>
        <v/>
      </c>
      <c r="M133" s="111"/>
      <c r="N133" t="str">
        <f t="shared" si="4"/>
        <v/>
      </c>
      <c r="O133" s="5" t="str">
        <f t="shared" si="5"/>
        <v/>
      </c>
    </row>
    <row r="134" spans="2:15" ht="12.75" customHeight="1" x14ac:dyDescent="0.3">
      <c r="B134" s="202"/>
      <c r="C134" s="202"/>
      <c r="D134" s="210"/>
      <c r="E134" s="210"/>
      <c r="F134" s="210"/>
      <c r="G134" s="211"/>
      <c r="H134" s="214"/>
      <c r="I134" s="207"/>
      <c r="J134" s="208"/>
      <c r="K134" s="209"/>
      <c r="L134" s="128" t="str">
        <f t="shared" si="3"/>
        <v/>
      </c>
      <c r="M134" s="111"/>
      <c r="N134" t="str">
        <f t="shared" si="4"/>
        <v/>
      </c>
      <c r="O134" s="5" t="str">
        <f t="shared" si="5"/>
        <v/>
      </c>
    </row>
    <row r="135" spans="2:15" ht="12.75" customHeight="1" x14ac:dyDescent="0.3">
      <c r="B135" s="202"/>
      <c r="C135" s="202"/>
      <c r="D135" s="210"/>
      <c r="E135" s="210"/>
      <c r="F135" s="210"/>
      <c r="G135" s="211"/>
      <c r="H135" s="214"/>
      <c r="I135" s="207"/>
      <c r="J135" s="208"/>
      <c r="K135" s="209"/>
      <c r="L135" s="128" t="str">
        <f t="shared" ref="L135:L198" si="6">IF(AND(OR($B135="",$C135="",$G135="",$H135="",$J135="",$K135="",AND($C135="Factuur",$J135="Openstaand",$F135="")),NOT(AND($B135="",$C135="",$G135="",$H135="",$J135="",$K135=""))),"Er ontbreken gegevens",IF(AND(NOT(ISBLANK($B135)),$O135&lt;&gt;$K$1),IF(AND($O135&lt;$K$1,$J135="Openstaand"),"Op beginbalans","Datum buiten boekjaar"),""))</f>
        <v/>
      </c>
      <c r="M135" s="111"/>
      <c r="N135" t="str">
        <f t="shared" ref="N135:N198" si="7">IFERROR(IF($B135="","",MONTH($B$6:$B$500)),0)</f>
        <v/>
      </c>
      <c r="O135" s="5" t="str">
        <f t="shared" ref="O135:O198" si="8">IFERROR(IF($B135="","",YEAR($B$6:$B$500)),0)</f>
        <v/>
      </c>
    </row>
    <row r="136" spans="2:15" ht="12.75" customHeight="1" x14ac:dyDescent="0.3">
      <c r="B136" s="202"/>
      <c r="C136" s="202"/>
      <c r="D136" s="210"/>
      <c r="E136" s="210"/>
      <c r="F136" s="210"/>
      <c r="G136" s="211"/>
      <c r="H136" s="214"/>
      <c r="I136" s="207"/>
      <c r="J136" s="208"/>
      <c r="K136" s="209"/>
      <c r="L136" s="128" t="str">
        <f t="shared" si="6"/>
        <v/>
      </c>
      <c r="M136" s="111"/>
      <c r="N136" t="str">
        <f t="shared" si="7"/>
        <v/>
      </c>
      <c r="O136" s="5" t="str">
        <f t="shared" si="8"/>
        <v/>
      </c>
    </row>
    <row r="137" spans="2:15" ht="12.75" customHeight="1" x14ac:dyDescent="0.3">
      <c r="B137" s="202"/>
      <c r="C137" s="202"/>
      <c r="D137" s="210"/>
      <c r="E137" s="210"/>
      <c r="F137" s="210"/>
      <c r="G137" s="211"/>
      <c r="H137" s="214"/>
      <c r="I137" s="207"/>
      <c r="J137" s="208"/>
      <c r="K137" s="209"/>
      <c r="L137" s="128" t="str">
        <f t="shared" si="6"/>
        <v/>
      </c>
      <c r="M137" s="111"/>
      <c r="N137" t="str">
        <f t="shared" si="7"/>
        <v/>
      </c>
      <c r="O137" s="5" t="str">
        <f t="shared" si="8"/>
        <v/>
      </c>
    </row>
    <row r="138" spans="2:15" ht="12.75" customHeight="1" x14ac:dyDescent="0.3">
      <c r="B138" s="202"/>
      <c r="C138" s="202"/>
      <c r="D138" s="210"/>
      <c r="E138" s="210"/>
      <c r="F138" s="210"/>
      <c r="G138" s="211"/>
      <c r="H138" s="214"/>
      <c r="I138" s="207"/>
      <c r="J138" s="208"/>
      <c r="K138" s="209"/>
      <c r="L138" s="128" t="str">
        <f t="shared" si="6"/>
        <v/>
      </c>
      <c r="M138" s="111"/>
      <c r="N138" t="str">
        <f t="shared" si="7"/>
        <v/>
      </c>
      <c r="O138" s="5" t="str">
        <f t="shared" si="8"/>
        <v/>
      </c>
    </row>
    <row r="139" spans="2:15" ht="12.75" customHeight="1" x14ac:dyDescent="0.3">
      <c r="B139" s="202"/>
      <c r="C139" s="202"/>
      <c r="D139" s="210"/>
      <c r="E139" s="210"/>
      <c r="F139" s="210"/>
      <c r="G139" s="211"/>
      <c r="H139" s="214"/>
      <c r="I139" s="207"/>
      <c r="J139" s="208"/>
      <c r="K139" s="209"/>
      <c r="L139" s="128" t="str">
        <f t="shared" si="6"/>
        <v/>
      </c>
      <c r="M139" s="111"/>
      <c r="N139" t="str">
        <f t="shared" si="7"/>
        <v/>
      </c>
      <c r="O139" s="5" t="str">
        <f t="shared" si="8"/>
        <v/>
      </c>
    </row>
    <row r="140" spans="2:15" ht="12.75" customHeight="1" x14ac:dyDescent="0.3">
      <c r="B140" s="202"/>
      <c r="C140" s="202"/>
      <c r="D140" s="210"/>
      <c r="E140" s="210"/>
      <c r="F140" s="210"/>
      <c r="G140" s="211"/>
      <c r="H140" s="214"/>
      <c r="I140" s="207"/>
      <c r="J140" s="208"/>
      <c r="K140" s="209"/>
      <c r="L140" s="128" t="str">
        <f t="shared" si="6"/>
        <v/>
      </c>
      <c r="M140" s="111"/>
      <c r="N140" t="str">
        <f t="shared" si="7"/>
        <v/>
      </c>
      <c r="O140" s="5" t="str">
        <f t="shared" si="8"/>
        <v/>
      </c>
    </row>
    <row r="141" spans="2:15" ht="12.75" customHeight="1" x14ac:dyDescent="0.3">
      <c r="B141" s="202"/>
      <c r="C141" s="202"/>
      <c r="D141" s="210"/>
      <c r="E141" s="210"/>
      <c r="F141" s="210"/>
      <c r="G141" s="211"/>
      <c r="H141" s="214"/>
      <c r="I141" s="207"/>
      <c r="J141" s="208"/>
      <c r="K141" s="209"/>
      <c r="L141" s="128" t="str">
        <f t="shared" si="6"/>
        <v/>
      </c>
      <c r="M141" s="111"/>
      <c r="N141" t="str">
        <f t="shared" si="7"/>
        <v/>
      </c>
      <c r="O141" s="5" t="str">
        <f t="shared" si="8"/>
        <v/>
      </c>
    </row>
    <row r="142" spans="2:15" ht="12.75" customHeight="1" x14ac:dyDescent="0.3">
      <c r="B142" s="202"/>
      <c r="C142" s="202"/>
      <c r="D142" s="210"/>
      <c r="E142" s="210"/>
      <c r="F142" s="210"/>
      <c r="G142" s="211"/>
      <c r="H142" s="214"/>
      <c r="I142" s="207"/>
      <c r="J142" s="208"/>
      <c r="K142" s="209"/>
      <c r="L142" s="128" t="str">
        <f t="shared" si="6"/>
        <v/>
      </c>
      <c r="M142" s="111"/>
      <c r="N142" t="str">
        <f t="shared" si="7"/>
        <v/>
      </c>
      <c r="O142" s="5" t="str">
        <f t="shared" si="8"/>
        <v/>
      </c>
    </row>
    <row r="143" spans="2:15" ht="12.75" customHeight="1" x14ac:dyDescent="0.3">
      <c r="B143" s="202"/>
      <c r="C143" s="202"/>
      <c r="D143" s="210"/>
      <c r="E143" s="210"/>
      <c r="F143" s="210"/>
      <c r="G143" s="211"/>
      <c r="H143" s="214"/>
      <c r="I143" s="207"/>
      <c r="J143" s="208"/>
      <c r="K143" s="209"/>
      <c r="L143" s="128" t="str">
        <f t="shared" si="6"/>
        <v/>
      </c>
      <c r="M143" s="111"/>
      <c r="N143" t="str">
        <f t="shared" si="7"/>
        <v/>
      </c>
      <c r="O143" s="5" t="str">
        <f t="shared" si="8"/>
        <v/>
      </c>
    </row>
    <row r="144" spans="2:15" ht="12.75" customHeight="1" x14ac:dyDescent="0.3">
      <c r="B144" s="202"/>
      <c r="C144" s="202"/>
      <c r="D144" s="210"/>
      <c r="E144" s="210"/>
      <c r="F144" s="210"/>
      <c r="G144" s="211"/>
      <c r="H144" s="214"/>
      <c r="I144" s="207"/>
      <c r="J144" s="208"/>
      <c r="K144" s="209"/>
      <c r="L144" s="128" t="str">
        <f t="shared" si="6"/>
        <v/>
      </c>
      <c r="M144" s="111"/>
      <c r="N144" t="str">
        <f t="shared" si="7"/>
        <v/>
      </c>
      <c r="O144" s="5" t="str">
        <f t="shared" si="8"/>
        <v/>
      </c>
    </row>
    <row r="145" spans="2:15" ht="12.75" customHeight="1" x14ac:dyDescent="0.3">
      <c r="B145" s="202"/>
      <c r="C145" s="202"/>
      <c r="D145" s="210"/>
      <c r="E145" s="210"/>
      <c r="F145" s="210"/>
      <c r="G145" s="211"/>
      <c r="H145" s="214"/>
      <c r="I145" s="207"/>
      <c r="J145" s="208"/>
      <c r="K145" s="209"/>
      <c r="L145" s="128" t="str">
        <f t="shared" si="6"/>
        <v/>
      </c>
      <c r="M145" s="111"/>
      <c r="N145" t="str">
        <f t="shared" si="7"/>
        <v/>
      </c>
      <c r="O145" s="5" t="str">
        <f t="shared" si="8"/>
        <v/>
      </c>
    </row>
    <row r="146" spans="2:15" ht="12.75" customHeight="1" x14ac:dyDescent="0.3">
      <c r="B146" s="202"/>
      <c r="C146" s="202"/>
      <c r="D146" s="210"/>
      <c r="E146" s="210"/>
      <c r="F146" s="210"/>
      <c r="G146" s="211"/>
      <c r="H146" s="214"/>
      <c r="I146" s="207"/>
      <c r="J146" s="208"/>
      <c r="K146" s="209"/>
      <c r="L146" s="128" t="str">
        <f t="shared" si="6"/>
        <v/>
      </c>
      <c r="M146" s="111"/>
      <c r="N146" t="str">
        <f t="shared" si="7"/>
        <v/>
      </c>
      <c r="O146" s="5" t="str">
        <f t="shared" si="8"/>
        <v/>
      </c>
    </row>
    <row r="147" spans="2:15" ht="12.75" customHeight="1" x14ac:dyDescent="0.3">
      <c r="B147" s="202"/>
      <c r="C147" s="202"/>
      <c r="D147" s="210"/>
      <c r="E147" s="210"/>
      <c r="F147" s="210"/>
      <c r="G147" s="211"/>
      <c r="H147" s="214"/>
      <c r="I147" s="207"/>
      <c r="J147" s="208"/>
      <c r="K147" s="209"/>
      <c r="L147" s="128" t="str">
        <f t="shared" si="6"/>
        <v/>
      </c>
      <c r="M147" s="111"/>
      <c r="N147" t="str">
        <f t="shared" si="7"/>
        <v/>
      </c>
      <c r="O147" s="5" t="str">
        <f t="shared" si="8"/>
        <v/>
      </c>
    </row>
    <row r="148" spans="2:15" ht="12.75" customHeight="1" x14ac:dyDescent="0.3">
      <c r="B148" s="202"/>
      <c r="C148" s="202"/>
      <c r="D148" s="210"/>
      <c r="E148" s="210"/>
      <c r="F148" s="210"/>
      <c r="G148" s="211"/>
      <c r="H148" s="214"/>
      <c r="I148" s="207"/>
      <c r="J148" s="208"/>
      <c r="K148" s="209"/>
      <c r="L148" s="128" t="str">
        <f t="shared" si="6"/>
        <v/>
      </c>
      <c r="M148" s="111"/>
      <c r="N148" t="str">
        <f t="shared" si="7"/>
        <v/>
      </c>
      <c r="O148" s="5" t="str">
        <f t="shared" si="8"/>
        <v/>
      </c>
    </row>
    <row r="149" spans="2:15" ht="12.75" customHeight="1" x14ac:dyDescent="0.3">
      <c r="B149" s="202"/>
      <c r="C149" s="202"/>
      <c r="D149" s="210"/>
      <c r="E149" s="210"/>
      <c r="F149" s="210"/>
      <c r="G149" s="211"/>
      <c r="H149" s="214"/>
      <c r="I149" s="207"/>
      <c r="J149" s="208"/>
      <c r="K149" s="209"/>
      <c r="L149" s="128" t="str">
        <f t="shared" si="6"/>
        <v/>
      </c>
      <c r="M149" s="111"/>
      <c r="N149" t="str">
        <f t="shared" si="7"/>
        <v/>
      </c>
      <c r="O149" s="5" t="str">
        <f t="shared" si="8"/>
        <v/>
      </c>
    </row>
    <row r="150" spans="2:15" ht="12.75" customHeight="1" x14ac:dyDescent="0.3">
      <c r="B150" s="202"/>
      <c r="C150" s="202"/>
      <c r="D150" s="210"/>
      <c r="E150" s="210"/>
      <c r="F150" s="210"/>
      <c r="G150" s="211"/>
      <c r="H150" s="214"/>
      <c r="I150" s="207"/>
      <c r="J150" s="208"/>
      <c r="K150" s="209"/>
      <c r="L150" s="128" t="str">
        <f t="shared" si="6"/>
        <v/>
      </c>
      <c r="M150" s="111"/>
      <c r="N150" t="str">
        <f t="shared" si="7"/>
        <v/>
      </c>
      <c r="O150" s="5" t="str">
        <f t="shared" si="8"/>
        <v/>
      </c>
    </row>
    <row r="151" spans="2:15" ht="12.75" customHeight="1" x14ac:dyDescent="0.3">
      <c r="B151" s="202"/>
      <c r="C151" s="202"/>
      <c r="D151" s="210"/>
      <c r="E151" s="210"/>
      <c r="F151" s="210"/>
      <c r="G151" s="211"/>
      <c r="H151" s="214"/>
      <c r="I151" s="207"/>
      <c r="J151" s="208"/>
      <c r="K151" s="209"/>
      <c r="L151" s="128" t="str">
        <f t="shared" si="6"/>
        <v/>
      </c>
      <c r="M151" s="111"/>
      <c r="N151" t="str">
        <f t="shared" si="7"/>
        <v/>
      </c>
      <c r="O151" s="5" t="str">
        <f t="shared" si="8"/>
        <v/>
      </c>
    </row>
    <row r="152" spans="2:15" ht="12.75" customHeight="1" x14ac:dyDescent="0.3">
      <c r="B152" s="202"/>
      <c r="C152" s="202"/>
      <c r="D152" s="210"/>
      <c r="E152" s="210"/>
      <c r="F152" s="210"/>
      <c r="G152" s="211"/>
      <c r="H152" s="214"/>
      <c r="I152" s="207"/>
      <c r="J152" s="208"/>
      <c r="K152" s="209"/>
      <c r="L152" s="128" t="str">
        <f t="shared" si="6"/>
        <v/>
      </c>
      <c r="M152" s="111"/>
      <c r="N152" t="str">
        <f t="shared" si="7"/>
        <v/>
      </c>
      <c r="O152" s="5" t="str">
        <f t="shared" si="8"/>
        <v/>
      </c>
    </row>
    <row r="153" spans="2:15" ht="12.75" customHeight="1" x14ac:dyDescent="0.3">
      <c r="B153" s="202"/>
      <c r="C153" s="202"/>
      <c r="D153" s="210"/>
      <c r="E153" s="210"/>
      <c r="F153" s="210"/>
      <c r="G153" s="211"/>
      <c r="H153" s="214"/>
      <c r="I153" s="207"/>
      <c r="J153" s="208"/>
      <c r="K153" s="209"/>
      <c r="L153" s="128" t="str">
        <f t="shared" si="6"/>
        <v/>
      </c>
      <c r="M153" s="111"/>
      <c r="N153" t="str">
        <f t="shared" si="7"/>
        <v/>
      </c>
      <c r="O153" s="5" t="str">
        <f t="shared" si="8"/>
        <v/>
      </c>
    </row>
    <row r="154" spans="2:15" ht="12.75" customHeight="1" x14ac:dyDescent="0.3">
      <c r="B154" s="202"/>
      <c r="C154" s="202"/>
      <c r="D154" s="210"/>
      <c r="E154" s="210"/>
      <c r="F154" s="210"/>
      <c r="G154" s="211"/>
      <c r="H154" s="214"/>
      <c r="I154" s="207"/>
      <c r="J154" s="208"/>
      <c r="K154" s="209"/>
      <c r="L154" s="128" t="str">
        <f t="shared" si="6"/>
        <v/>
      </c>
      <c r="M154" s="111"/>
      <c r="N154" t="str">
        <f t="shared" si="7"/>
        <v/>
      </c>
      <c r="O154" s="5" t="str">
        <f t="shared" si="8"/>
        <v/>
      </c>
    </row>
    <row r="155" spans="2:15" ht="12.75" customHeight="1" x14ac:dyDescent="0.3">
      <c r="B155" s="202"/>
      <c r="C155" s="202"/>
      <c r="D155" s="210"/>
      <c r="E155" s="210"/>
      <c r="F155" s="210"/>
      <c r="G155" s="211"/>
      <c r="H155" s="214"/>
      <c r="I155" s="207"/>
      <c r="J155" s="208"/>
      <c r="K155" s="209"/>
      <c r="L155" s="128" t="str">
        <f t="shared" si="6"/>
        <v/>
      </c>
      <c r="M155" s="111"/>
      <c r="N155" t="str">
        <f t="shared" si="7"/>
        <v/>
      </c>
      <c r="O155" s="5" t="str">
        <f t="shared" si="8"/>
        <v/>
      </c>
    </row>
    <row r="156" spans="2:15" ht="12.75" customHeight="1" x14ac:dyDescent="0.3">
      <c r="B156" s="202"/>
      <c r="C156" s="202"/>
      <c r="D156" s="210"/>
      <c r="E156" s="210"/>
      <c r="F156" s="210"/>
      <c r="G156" s="211"/>
      <c r="H156" s="214"/>
      <c r="I156" s="207"/>
      <c r="J156" s="208"/>
      <c r="K156" s="209"/>
      <c r="L156" s="128" t="str">
        <f t="shared" si="6"/>
        <v/>
      </c>
      <c r="M156" s="111"/>
      <c r="N156" t="str">
        <f t="shared" si="7"/>
        <v/>
      </c>
      <c r="O156" s="5" t="str">
        <f t="shared" si="8"/>
        <v/>
      </c>
    </row>
    <row r="157" spans="2:15" ht="12.75" customHeight="1" x14ac:dyDescent="0.3">
      <c r="B157" s="202"/>
      <c r="C157" s="202"/>
      <c r="D157" s="210"/>
      <c r="E157" s="210"/>
      <c r="F157" s="210"/>
      <c r="G157" s="211"/>
      <c r="H157" s="214"/>
      <c r="I157" s="207"/>
      <c r="J157" s="208"/>
      <c r="K157" s="209"/>
      <c r="L157" s="128" t="str">
        <f t="shared" si="6"/>
        <v/>
      </c>
      <c r="M157" s="111"/>
      <c r="N157" t="str">
        <f t="shared" si="7"/>
        <v/>
      </c>
      <c r="O157" s="5" t="str">
        <f t="shared" si="8"/>
        <v/>
      </c>
    </row>
    <row r="158" spans="2:15" ht="12.75" customHeight="1" x14ac:dyDescent="0.3">
      <c r="B158" s="202"/>
      <c r="C158" s="202"/>
      <c r="D158" s="210"/>
      <c r="E158" s="210"/>
      <c r="F158" s="210"/>
      <c r="G158" s="211"/>
      <c r="H158" s="214"/>
      <c r="I158" s="207"/>
      <c r="J158" s="208"/>
      <c r="K158" s="209"/>
      <c r="L158" s="128" t="str">
        <f t="shared" si="6"/>
        <v/>
      </c>
      <c r="M158" s="111"/>
      <c r="N158" t="str">
        <f t="shared" si="7"/>
        <v/>
      </c>
      <c r="O158" s="5" t="str">
        <f t="shared" si="8"/>
        <v/>
      </c>
    </row>
    <row r="159" spans="2:15" ht="12.75" customHeight="1" x14ac:dyDescent="0.3">
      <c r="B159" s="202"/>
      <c r="C159" s="202"/>
      <c r="D159" s="210"/>
      <c r="E159" s="210"/>
      <c r="F159" s="210"/>
      <c r="G159" s="211"/>
      <c r="H159" s="214"/>
      <c r="I159" s="207"/>
      <c r="J159" s="208"/>
      <c r="K159" s="209"/>
      <c r="L159" s="128" t="str">
        <f t="shared" si="6"/>
        <v/>
      </c>
      <c r="M159" s="111"/>
      <c r="N159" t="str">
        <f t="shared" si="7"/>
        <v/>
      </c>
      <c r="O159" s="5" t="str">
        <f t="shared" si="8"/>
        <v/>
      </c>
    </row>
    <row r="160" spans="2:15" ht="12.75" customHeight="1" x14ac:dyDescent="0.3">
      <c r="B160" s="202"/>
      <c r="C160" s="202"/>
      <c r="D160" s="210"/>
      <c r="E160" s="210"/>
      <c r="F160" s="210"/>
      <c r="G160" s="211"/>
      <c r="H160" s="214"/>
      <c r="I160" s="207"/>
      <c r="J160" s="208"/>
      <c r="K160" s="209"/>
      <c r="L160" s="128" t="str">
        <f t="shared" si="6"/>
        <v/>
      </c>
      <c r="M160" s="111"/>
      <c r="N160" t="str">
        <f t="shared" si="7"/>
        <v/>
      </c>
      <c r="O160" s="5" t="str">
        <f t="shared" si="8"/>
        <v/>
      </c>
    </row>
    <row r="161" spans="2:15" ht="12.75" customHeight="1" x14ac:dyDescent="0.3">
      <c r="B161" s="202"/>
      <c r="C161" s="202"/>
      <c r="D161" s="210"/>
      <c r="E161" s="210"/>
      <c r="F161" s="210"/>
      <c r="G161" s="211"/>
      <c r="H161" s="214"/>
      <c r="I161" s="207"/>
      <c r="J161" s="208"/>
      <c r="K161" s="209"/>
      <c r="L161" s="128" t="str">
        <f t="shared" si="6"/>
        <v/>
      </c>
      <c r="M161" s="111"/>
      <c r="N161" t="str">
        <f t="shared" si="7"/>
        <v/>
      </c>
      <c r="O161" s="5" t="str">
        <f t="shared" si="8"/>
        <v/>
      </c>
    </row>
    <row r="162" spans="2:15" ht="12.75" customHeight="1" x14ac:dyDescent="0.3">
      <c r="B162" s="202"/>
      <c r="C162" s="202"/>
      <c r="D162" s="210"/>
      <c r="E162" s="210"/>
      <c r="F162" s="210"/>
      <c r="G162" s="211"/>
      <c r="H162" s="214"/>
      <c r="I162" s="207"/>
      <c r="J162" s="208"/>
      <c r="K162" s="209"/>
      <c r="L162" s="128" t="str">
        <f t="shared" si="6"/>
        <v/>
      </c>
      <c r="M162" s="111"/>
      <c r="N162" t="str">
        <f t="shared" si="7"/>
        <v/>
      </c>
      <c r="O162" s="5" t="str">
        <f t="shared" si="8"/>
        <v/>
      </c>
    </row>
    <row r="163" spans="2:15" ht="12.75" customHeight="1" x14ac:dyDescent="0.3">
      <c r="B163" s="202"/>
      <c r="C163" s="202"/>
      <c r="D163" s="210"/>
      <c r="E163" s="210"/>
      <c r="F163" s="210"/>
      <c r="G163" s="211"/>
      <c r="H163" s="214"/>
      <c r="I163" s="207"/>
      <c r="J163" s="208"/>
      <c r="K163" s="209"/>
      <c r="L163" s="128" t="str">
        <f t="shared" si="6"/>
        <v/>
      </c>
      <c r="M163" s="111"/>
      <c r="N163" t="str">
        <f t="shared" si="7"/>
        <v/>
      </c>
      <c r="O163" s="5" t="str">
        <f t="shared" si="8"/>
        <v/>
      </c>
    </row>
    <row r="164" spans="2:15" ht="12.75" customHeight="1" x14ac:dyDescent="0.3">
      <c r="B164" s="202"/>
      <c r="C164" s="202"/>
      <c r="D164" s="210"/>
      <c r="E164" s="210"/>
      <c r="F164" s="210"/>
      <c r="G164" s="211"/>
      <c r="H164" s="214"/>
      <c r="I164" s="207"/>
      <c r="J164" s="208"/>
      <c r="K164" s="209"/>
      <c r="L164" s="128" t="str">
        <f t="shared" si="6"/>
        <v/>
      </c>
      <c r="M164" s="111"/>
      <c r="N164" t="str">
        <f t="shared" si="7"/>
        <v/>
      </c>
      <c r="O164" s="5" t="str">
        <f t="shared" si="8"/>
        <v/>
      </c>
    </row>
    <row r="165" spans="2:15" ht="12.75" customHeight="1" x14ac:dyDescent="0.3">
      <c r="B165" s="202"/>
      <c r="C165" s="202"/>
      <c r="D165" s="210"/>
      <c r="E165" s="210"/>
      <c r="F165" s="210"/>
      <c r="G165" s="211"/>
      <c r="H165" s="214"/>
      <c r="I165" s="207"/>
      <c r="J165" s="208"/>
      <c r="K165" s="209"/>
      <c r="L165" s="128" t="str">
        <f t="shared" si="6"/>
        <v/>
      </c>
      <c r="M165" s="111"/>
      <c r="N165" t="str">
        <f t="shared" si="7"/>
        <v/>
      </c>
      <c r="O165" s="5" t="str">
        <f t="shared" si="8"/>
        <v/>
      </c>
    </row>
    <row r="166" spans="2:15" ht="12.75" customHeight="1" x14ac:dyDescent="0.3">
      <c r="B166" s="202"/>
      <c r="C166" s="202"/>
      <c r="D166" s="210"/>
      <c r="E166" s="210"/>
      <c r="F166" s="210"/>
      <c r="G166" s="211"/>
      <c r="H166" s="214"/>
      <c r="I166" s="207"/>
      <c r="J166" s="208"/>
      <c r="K166" s="209"/>
      <c r="L166" s="128" t="str">
        <f t="shared" si="6"/>
        <v/>
      </c>
      <c r="M166" s="111"/>
      <c r="N166" t="str">
        <f t="shared" si="7"/>
        <v/>
      </c>
      <c r="O166" s="5" t="str">
        <f t="shared" si="8"/>
        <v/>
      </c>
    </row>
    <row r="167" spans="2:15" ht="12.75" customHeight="1" x14ac:dyDescent="0.3">
      <c r="B167" s="202"/>
      <c r="C167" s="202"/>
      <c r="D167" s="210"/>
      <c r="E167" s="210"/>
      <c r="F167" s="210"/>
      <c r="G167" s="211"/>
      <c r="H167" s="214"/>
      <c r="I167" s="207"/>
      <c r="J167" s="208"/>
      <c r="K167" s="209"/>
      <c r="L167" s="128" t="str">
        <f t="shared" si="6"/>
        <v/>
      </c>
      <c r="M167" s="111"/>
      <c r="N167" t="str">
        <f t="shared" si="7"/>
        <v/>
      </c>
      <c r="O167" s="5" t="str">
        <f t="shared" si="8"/>
        <v/>
      </c>
    </row>
    <row r="168" spans="2:15" ht="12.75" customHeight="1" x14ac:dyDescent="0.3">
      <c r="B168" s="202"/>
      <c r="C168" s="202"/>
      <c r="D168" s="210"/>
      <c r="E168" s="210"/>
      <c r="F168" s="210"/>
      <c r="G168" s="211"/>
      <c r="H168" s="214"/>
      <c r="I168" s="207"/>
      <c r="J168" s="208"/>
      <c r="K168" s="209"/>
      <c r="L168" s="128" t="str">
        <f t="shared" si="6"/>
        <v/>
      </c>
      <c r="M168" s="111"/>
      <c r="N168" t="str">
        <f t="shared" si="7"/>
        <v/>
      </c>
      <c r="O168" s="5" t="str">
        <f t="shared" si="8"/>
        <v/>
      </c>
    </row>
    <row r="169" spans="2:15" ht="12.75" customHeight="1" x14ac:dyDescent="0.3">
      <c r="B169" s="202"/>
      <c r="C169" s="202"/>
      <c r="D169" s="210"/>
      <c r="E169" s="210"/>
      <c r="F169" s="210"/>
      <c r="G169" s="211"/>
      <c r="H169" s="214"/>
      <c r="I169" s="207"/>
      <c r="J169" s="208"/>
      <c r="K169" s="209"/>
      <c r="L169" s="128" t="str">
        <f t="shared" si="6"/>
        <v/>
      </c>
      <c r="M169" s="111"/>
      <c r="N169" t="str">
        <f t="shared" si="7"/>
        <v/>
      </c>
      <c r="O169" s="5" t="str">
        <f t="shared" si="8"/>
        <v/>
      </c>
    </row>
    <row r="170" spans="2:15" ht="12.75" customHeight="1" x14ac:dyDescent="0.3">
      <c r="B170" s="202"/>
      <c r="C170" s="202"/>
      <c r="D170" s="210"/>
      <c r="E170" s="210"/>
      <c r="F170" s="210"/>
      <c r="G170" s="211"/>
      <c r="H170" s="214"/>
      <c r="I170" s="207"/>
      <c r="J170" s="208"/>
      <c r="K170" s="209"/>
      <c r="L170" s="128" t="str">
        <f t="shared" si="6"/>
        <v/>
      </c>
      <c r="M170" s="111"/>
      <c r="N170" t="str">
        <f t="shared" si="7"/>
        <v/>
      </c>
      <c r="O170" s="5" t="str">
        <f t="shared" si="8"/>
        <v/>
      </c>
    </row>
    <row r="171" spans="2:15" ht="12.75" customHeight="1" x14ac:dyDescent="0.3">
      <c r="B171" s="202"/>
      <c r="C171" s="202"/>
      <c r="D171" s="210"/>
      <c r="E171" s="210"/>
      <c r="F171" s="210"/>
      <c r="G171" s="211"/>
      <c r="H171" s="214"/>
      <c r="I171" s="207"/>
      <c r="J171" s="208"/>
      <c r="K171" s="209"/>
      <c r="L171" s="128" t="str">
        <f t="shared" si="6"/>
        <v/>
      </c>
      <c r="M171" s="111"/>
      <c r="N171" t="str">
        <f t="shared" si="7"/>
        <v/>
      </c>
      <c r="O171" s="5" t="str">
        <f t="shared" si="8"/>
        <v/>
      </c>
    </row>
    <row r="172" spans="2:15" ht="12.75" customHeight="1" x14ac:dyDescent="0.3">
      <c r="B172" s="202"/>
      <c r="C172" s="202"/>
      <c r="D172" s="210"/>
      <c r="E172" s="210"/>
      <c r="F172" s="210"/>
      <c r="G172" s="211"/>
      <c r="H172" s="214"/>
      <c r="I172" s="207"/>
      <c r="J172" s="208"/>
      <c r="K172" s="209"/>
      <c r="L172" s="128" t="str">
        <f t="shared" si="6"/>
        <v/>
      </c>
      <c r="M172" s="111"/>
      <c r="N172" t="str">
        <f t="shared" si="7"/>
        <v/>
      </c>
      <c r="O172" s="5" t="str">
        <f t="shared" si="8"/>
        <v/>
      </c>
    </row>
    <row r="173" spans="2:15" ht="12.75" customHeight="1" x14ac:dyDescent="0.3">
      <c r="B173" s="202"/>
      <c r="C173" s="202"/>
      <c r="D173" s="210"/>
      <c r="E173" s="210"/>
      <c r="F173" s="210"/>
      <c r="G173" s="211"/>
      <c r="H173" s="214"/>
      <c r="I173" s="207"/>
      <c r="J173" s="208"/>
      <c r="K173" s="209"/>
      <c r="L173" s="128" t="str">
        <f t="shared" si="6"/>
        <v/>
      </c>
      <c r="M173" s="111"/>
      <c r="N173" t="str">
        <f t="shared" si="7"/>
        <v/>
      </c>
      <c r="O173" s="5" t="str">
        <f t="shared" si="8"/>
        <v/>
      </c>
    </row>
    <row r="174" spans="2:15" ht="12.75" customHeight="1" x14ac:dyDescent="0.3">
      <c r="B174" s="202"/>
      <c r="C174" s="202"/>
      <c r="D174" s="210"/>
      <c r="E174" s="210"/>
      <c r="F174" s="210"/>
      <c r="G174" s="211"/>
      <c r="H174" s="214"/>
      <c r="I174" s="207"/>
      <c r="J174" s="208"/>
      <c r="K174" s="209"/>
      <c r="L174" s="128" t="str">
        <f t="shared" si="6"/>
        <v/>
      </c>
      <c r="M174" s="111"/>
      <c r="N174" t="str">
        <f t="shared" si="7"/>
        <v/>
      </c>
      <c r="O174" s="5" t="str">
        <f t="shared" si="8"/>
        <v/>
      </c>
    </row>
    <row r="175" spans="2:15" ht="12.75" customHeight="1" x14ac:dyDescent="0.3">
      <c r="B175" s="202"/>
      <c r="C175" s="202"/>
      <c r="D175" s="210"/>
      <c r="E175" s="210"/>
      <c r="F175" s="210"/>
      <c r="G175" s="211"/>
      <c r="H175" s="214"/>
      <c r="I175" s="207"/>
      <c r="J175" s="208"/>
      <c r="K175" s="209"/>
      <c r="L175" s="128" t="str">
        <f t="shared" si="6"/>
        <v/>
      </c>
      <c r="M175" s="111"/>
      <c r="N175" t="str">
        <f t="shared" si="7"/>
        <v/>
      </c>
      <c r="O175" s="5" t="str">
        <f t="shared" si="8"/>
        <v/>
      </c>
    </row>
    <row r="176" spans="2:15" ht="12.75" customHeight="1" x14ac:dyDescent="0.3">
      <c r="B176" s="202"/>
      <c r="C176" s="202"/>
      <c r="D176" s="210"/>
      <c r="E176" s="210"/>
      <c r="F176" s="210"/>
      <c r="G176" s="211"/>
      <c r="H176" s="214"/>
      <c r="I176" s="207"/>
      <c r="J176" s="208"/>
      <c r="K176" s="209"/>
      <c r="L176" s="128" t="str">
        <f t="shared" si="6"/>
        <v/>
      </c>
      <c r="M176" s="111"/>
      <c r="N176" t="str">
        <f t="shared" si="7"/>
        <v/>
      </c>
      <c r="O176" s="5" t="str">
        <f t="shared" si="8"/>
        <v/>
      </c>
    </row>
    <row r="177" spans="2:15" ht="12.75" customHeight="1" x14ac:dyDescent="0.3">
      <c r="B177" s="202"/>
      <c r="C177" s="202"/>
      <c r="D177" s="210"/>
      <c r="E177" s="210"/>
      <c r="F177" s="210"/>
      <c r="G177" s="211"/>
      <c r="H177" s="214"/>
      <c r="I177" s="207"/>
      <c r="J177" s="208"/>
      <c r="K177" s="209"/>
      <c r="L177" s="128" t="str">
        <f t="shared" si="6"/>
        <v/>
      </c>
      <c r="M177" s="111"/>
      <c r="N177" t="str">
        <f t="shared" si="7"/>
        <v/>
      </c>
      <c r="O177" s="5" t="str">
        <f t="shared" si="8"/>
        <v/>
      </c>
    </row>
    <row r="178" spans="2:15" ht="12.75" customHeight="1" x14ac:dyDescent="0.3">
      <c r="B178" s="202"/>
      <c r="C178" s="202"/>
      <c r="D178" s="210"/>
      <c r="E178" s="210"/>
      <c r="F178" s="210"/>
      <c r="G178" s="211"/>
      <c r="H178" s="214"/>
      <c r="I178" s="207"/>
      <c r="J178" s="208"/>
      <c r="K178" s="209"/>
      <c r="L178" s="128" t="str">
        <f t="shared" si="6"/>
        <v/>
      </c>
      <c r="M178" s="111"/>
      <c r="N178" t="str">
        <f t="shared" si="7"/>
        <v/>
      </c>
      <c r="O178" s="5" t="str">
        <f t="shared" si="8"/>
        <v/>
      </c>
    </row>
    <row r="179" spans="2:15" ht="12.75" customHeight="1" x14ac:dyDescent="0.3">
      <c r="B179" s="202"/>
      <c r="C179" s="202"/>
      <c r="D179" s="210"/>
      <c r="E179" s="210"/>
      <c r="F179" s="210"/>
      <c r="G179" s="211"/>
      <c r="H179" s="214"/>
      <c r="I179" s="207"/>
      <c r="J179" s="208"/>
      <c r="K179" s="209"/>
      <c r="L179" s="128" t="str">
        <f t="shared" si="6"/>
        <v/>
      </c>
      <c r="M179" s="111"/>
      <c r="N179" t="str">
        <f t="shared" si="7"/>
        <v/>
      </c>
      <c r="O179" s="5" t="str">
        <f t="shared" si="8"/>
        <v/>
      </c>
    </row>
    <row r="180" spans="2:15" ht="12.75" customHeight="1" x14ac:dyDescent="0.3">
      <c r="B180" s="202"/>
      <c r="C180" s="202"/>
      <c r="D180" s="210"/>
      <c r="E180" s="210"/>
      <c r="F180" s="210"/>
      <c r="G180" s="211"/>
      <c r="H180" s="214"/>
      <c r="I180" s="207"/>
      <c r="J180" s="208"/>
      <c r="K180" s="209"/>
      <c r="L180" s="128" t="str">
        <f t="shared" si="6"/>
        <v/>
      </c>
      <c r="M180" s="111"/>
      <c r="N180" t="str">
        <f t="shared" si="7"/>
        <v/>
      </c>
      <c r="O180" s="5" t="str">
        <f t="shared" si="8"/>
        <v/>
      </c>
    </row>
    <row r="181" spans="2:15" ht="12.75" customHeight="1" x14ac:dyDescent="0.3">
      <c r="B181" s="202"/>
      <c r="C181" s="202"/>
      <c r="D181" s="210"/>
      <c r="E181" s="210"/>
      <c r="F181" s="210"/>
      <c r="G181" s="211"/>
      <c r="H181" s="214"/>
      <c r="I181" s="207"/>
      <c r="J181" s="208"/>
      <c r="K181" s="209"/>
      <c r="L181" s="128" t="str">
        <f t="shared" si="6"/>
        <v/>
      </c>
      <c r="M181" s="111"/>
      <c r="N181" t="str">
        <f t="shared" si="7"/>
        <v/>
      </c>
      <c r="O181" s="5" t="str">
        <f t="shared" si="8"/>
        <v/>
      </c>
    </row>
    <row r="182" spans="2:15" ht="12.75" customHeight="1" x14ac:dyDescent="0.3">
      <c r="B182" s="202"/>
      <c r="C182" s="202"/>
      <c r="D182" s="210"/>
      <c r="E182" s="210"/>
      <c r="F182" s="210"/>
      <c r="G182" s="211"/>
      <c r="H182" s="214"/>
      <c r="I182" s="207"/>
      <c r="J182" s="208"/>
      <c r="K182" s="209"/>
      <c r="L182" s="128" t="str">
        <f t="shared" si="6"/>
        <v/>
      </c>
      <c r="M182" s="111"/>
      <c r="N182" t="str">
        <f t="shared" si="7"/>
        <v/>
      </c>
      <c r="O182" s="5" t="str">
        <f t="shared" si="8"/>
        <v/>
      </c>
    </row>
    <row r="183" spans="2:15" ht="12.75" customHeight="1" x14ac:dyDescent="0.3">
      <c r="B183" s="202"/>
      <c r="C183" s="202"/>
      <c r="D183" s="210"/>
      <c r="E183" s="210"/>
      <c r="F183" s="210"/>
      <c r="G183" s="211"/>
      <c r="H183" s="214"/>
      <c r="I183" s="207"/>
      <c r="J183" s="208"/>
      <c r="K183" s="209"/>
      <c r="L183" s="128" t="str">
        <f t="shared" si="6"/>
        <v/>
      </c>
      <c r="M183" s="111"/>
      <c r="N183" t="str">
        <f t="shared" si="7"/>
        <v/>
      </c>
      <c r="O183" s="5" t="str">
        <f t="shared" si="8"/>
        <v/>
      </c>
    </row>
    <row r="184" spans="2:15" ht="12.75" customHeight="1" x14ac:dyDescent="0.3">
      <c r="B184" s="202"/>
      <c r="C184" s="202"/>
      <c r="D184" s="210"/>
      <c r="E184" s="210"/>
      <c r="F184" s="210"/>
      <c r="G184" s="211"/>
      <c r="H184" s="214"/>
      <c r="I184" s="207"/>
      <c r="J184" s="208"/>
      <c r="K184" s="209"/>
      <c r="L184" s="128" t="str">
        <f t="shared" si="6"/>
        <v/>
      </c>
      <c r="M184" s="111"/>
      <c r="N184" t="str">
        <f t="shared" si="7"/>
        <v/>
      </c>
      <c r="O184" s="5" t="str">
        <f t="shared" si="8"/>
        <v/>
      </c>
    </row>
    <row r="185" spans="2:15" ht="12.75" customHeight="1" x14ac:dyDescent="0.3">
      <c r="B185" s="202"/>
      <c r="C185" s="202"/>
      <c r="D185" s="210"/>
      <c r="E185" s="210"/>
      <c r="F185" s="210"/>
      <c r="G185" s="211"/>
      <c r="H185" s="214"/>
      <c r="I185" s="207"/>
      <c r="J185" s="208"/>
      <c r="K185" s="209"/>
      <c r="L185" s="128" t="str">
        <f t="shared" si="6"/>
        <v/>
      </c>
      <c r="M185" s="111"/>
      <c r="N185" t="str">
        <f t="shared" si="7"/>
        <v/>
      </c>
      <c r="O185" s="5" t="str">
        <f t="shared" si="8"/>
        <v/>
      </c>
    </row>
    <row r="186" spans="2:15" ht="12.75" customHeight="1" x14ac:dyDescent="0.3">
      <c r="B186" s="202"/>
      <c r="C186" s="202"/>
      <c r="D186" s="210"/>
      <c r="E186" s="210"/>
      <c r="F186" s="210"/>
      <c r="G186" s="211"/>
      <c r="H186" s="214"/>
      <c r="I186" s="207"/>
      <c r="J186" s="208"/>
      <c r="K186" s="209"/>
      <c r="L186" s="128" t="str">
        <f t="shared" si="6"/>
        <v/>
      </c>
      <c r="M186" s="111"/>
      <c r="N186" t="str">
        <f t="shared" si="7"/>
        <v/>
      </c>
      <c r="O186" s="5" t="str">
        <f t="shared" si="8"/>
        <v/>
      </c>
    </row>
    <row r="187" spans="2:15" ht="12.75" customHeight="1" x14ac:dyDescent="0.3">
      <c r="B187" s="202"/>
      <c r="C187" s="202"/>
      <c r="D187" s="210"/>
      <c r="E187" s="210"/>
      <c r="F187" s="210"/>
      <c r="G187" s="211"/>
      <c r="H187" s="214"/>
      <c r="I187" s="207"/>
      <c r="J187" s="208"/>
      <c r="K187" s="209"/>
      <c r="L187" s="128" t="str">
        <f t="shared" si="6"/>
        <v/>
      </c>
      <c r="M187" s="111"/>
      <c r="N187" t="str">
        <f t="shared" si="7"/>
        <v/>
      </c>
      <c r="O187" s="5" t="str">
        <f t="shared" si="8"/>
        <v/>
      </c>
    </row>
    <row r="188" spans="2:15" ht="12.75" customHeight="1" x14ac:dyDescent="0.3">
      <c r="B188" s="202"/>
      <c r="C188" s="202"/>
      <c r="D188" s="210"/>
      <c r="E188" s="210"/>
      <c r="F188" s="210"/>
      <c r="G188" s="211"/>
      <c r="H188" s="214"/>
      <c r="I188" s="207"/>
      <c r="J188" s="208"/>
      <c r="K188" s="209"/>
      <c r="L188" s="128" t="str">
        <f t="shared" si="6"/>
        <v/>
      </c>
      <c r="M188" s="111"/>
      <c r="N188" t="str">
        <f t="shared" si="7"/>
        <v/>
      </c>
      <c r="O188" s="5" t="str">
        <f t="shared" si="8"/>
        <v/>
      </c>
    </row>
    <row r="189" spans="2:15" ht="12.75" customHeight="1" x14ac:dyDescent="0.3">
      <c r="B189" s="202"/>
      <c r="C189" s="202"/>
      <c r="D189" s="210"/>
      <c r="E189" s="210"/>
      <c r="F189" s="210"/>
      <c r="G189" s="211"/>
      <c r="H189" s="214"/>
      <c r="I189" s="207"/>
      <c r="J189" s="208"/>
      <c r="K189" s="209"/>
      <c r="L189" s="128" t="str">
        <f t="shared" si="6"/>
        <v/>
      </c>
      <c r="M189" s="111"/>
      <c r="N189" t="str">
        <f t="shared" si="7"/>
        <v/>
      </c>
      <c r="O189" s="5" t="str">
        <f t="shared" si="8"/>
        <v/>
      </c>
    </row>
    <row r="190" spans="2:15" ht="12.75" customHeight="1" x14ac:dyDescent="0.3">
      <c r="B190" s="202"/>
      <c r="C190" s="202"/>
      <c r="D190" s="210"/>
      <c r="E190" s="210"/>
      <c r="F190" s="210"/>
      <c r="G190" s="211"/>
      <c r="H190" s="214"/>
      <c r="I190" s="207"/>
      <c r="J190" s="208"/>
      <c r="K190" s="209"/>
      <c r="L190" s="128" t="str">
        <f t="shared" si="6"/>
        <v/>
      </c>
      <c r="M190" s="111"/>
      <c r="N190" t="str">
        <f t="shared" si="7"/>
        <v/>
      </c>
      <c r="O190" s="5" t="str">
        <f t="shared" si="8"/>
        <v/>
      </c>
    </row>
    <row r="191" spans="2:15" ht="12.75" customHeight="1" x14ac:dyDescent="0.3">
      <c r="B191" s="202"/>
      <c r="C191" s="202"/>
      <c r="D191" s="210"/>
      <c r="E191" s="210"/>
      <c r="F191" s="210"/>
      <c r="G191" s="211"/>
      <c r="H191" s="214"/>
      <c r="I191" s="207"/>
      <c r="J191" s="208"/>
      <c r="K191" s="209"/>
      <c r="L191" s="128" t="str">
        <f t="shared" si="6"/>
        <v/>
      </c>
      <c r="M191" s="111"/>
      <c r="N191" t="str">
        <f t="shared" si="7"/>
        <v/>
      </c>
      <c r="O191" s="5" t="str">
        <f t="shared" si="8"/>
        <v/>
      </c>
    </row>
    <row r="192" spans="2:15" ht="12.75" customHeight="1" x14ac:dyDescent="0.3">
      <c r="B192" s="202"/>
      <c r="C192" s="202"/>
      <c r="D192" s="210"/>
      <c r="E192" s="210"/>
      <c r="F192" s="210"/>
      <c r="G192" s="211"/>
      <c r="H192" s="214"/>
      <c r="I192" s="207"/>
      <c r="J192" s="208"/>
      <c r="K192" s="209"/>
      <c r="L192" s="128" t="str">
        <f t="shared" si="6"/>
        <v/>
      </c>
      <c r="M192" s="111"/>
      <c r="N192" t="str">
        <f t="shared" si="7"/>
        <v/>
      </c>
      <c r="O192" s="5" t="str">
        <f t="shared" si="8"/>
        <v/>
      </c>
    </row>
    <row r="193" spans="2:15" ht="12.75" customHeight="1" x14ac:dyDescent="0.3">
      <c r="B193" s="202"/>
      <c r="C193" s="202"/>
      <c r="D193" s="210"/>
      <c r="E193" s="210"/>
      <c r="F193" s="210"/>
      <c r="G193" s="211"/>
      <c r="H193" s="214"/>
      <c r="I193" s="207"/>
      <c r="J193" s="208"/>
      <c r="K193" s="209"/>
      <c r="L193" s="128" t="str">
        <f t="shared" si="6"/>
        <v/>
      </c>
      <c r="M193" s="111"/>
      <c r="N193" t="str">
        <f t="shared" si="7"/>
        <v/>
      </c>
      <c r="O193" s="5" t="str">
        <f t="shared" si="8"/>
        <v/>
      </c>
    </row>
    <row r="194" spans="2:15" ht="12.75" customHeight="1" x14ac:dyDescent="0.3">
      <c r="B194" s="202"/>
      <c r="C194" s="202"/>
      <c r="D194" s="210"/>
      <c r="E194" s="210"/>
      <c r="F194" s="210"/>
      <c r="G194" s="211"/>
      <c r="H194" s="214"/>
      <c r="I194" s="207"/>
      <c r="J194" s="208"/>
      <c r="K194" s="209"/>
      <c r="L194" s="128" t="str">
        <f t="shared" si="6"/>
        <v/>
      </c>
      <c r="M194" s="111"/>
      <c r="N194" t="str">
        <f t="shared" si="7"/>
        <v/>
      </c>
      <c r="O194" s="5" t="str">
        <f t="shared" si="8"/>
        <v/>
      </c>
    </row>
    <row r="195" spans="2:15" ht="12.75" customHeight="1" x14ac:dyDescent="0.3">
      <c r="B195" s="202"/>
      <c r="C195" s="202"/>
      <c r="D195" s="210"/>
      <c r="E195" s="210"/>
      <c r="F195" s="210"/>
      <c r="G195" s="211"/>
      <c r="H195" s="214"/>
      <c r="I195" s="207"/>
      <c r="J195" s="208"/>
      <c r="K195" s="209"/>
      <c r="L195" s="128" t="str">
        <f t="shared" si="6"/>
        <v/>
      </c>
      <c r="M195" s="111"/>
      <c r="N195" t="str">
        <f t="shared" si="7"/>
        <v/>
      </c>
      <c r="O195" s="5" t="str">
        <f t="shared" si="8"/>
        <v/>
      </c>
    </row>
    <row r="196" spans="2:15" ht="12.75" customHeight="1" x14ac:dyDescent="0.3">
      <c r="B196" s="202"/>
      <c r="C196" s="202"/>
      <c r="D196" s="210"/>
      <c r="E196" s="210"/>
      <c r="F196" s="210"/>
      <c r="G196" s="211"/>
      <c r="H196" s="214"/>
      <c r="I196" s="207"/>
      <c r="J196" s="208"/>
      <c r="K196" s="209"/>
      <c r="L196" s="128" t="str">
        <f t="shared" si="6"/>
        <v/>
      </c>
      <c r="M196" s="111"/>
      <c r="N196" t="str">
        <f t="shared" si="7"/>
        <v/>
      </c>
      <c r="O196" s="5" t="str">
        <f t="shared" si="8"/>
        <v/>
      </c>
    </row>
    <row r="197" spans="2:15" ht="12.75" customHeight="1" x14ac:dyDescent="0.3">
      <c r="B197" s="202"/>
      <c r="C197" s="202"/>
      <c r="D197" s="210"/>
      <c r="E197" s="210"/>
      <c r="F197" s="210"/>
      <c r="G197" s="211"/>
      <c r="H197" s="214"/>
      <c r="I197" s="207"/>
      <c r="J197" s="208"/>
      <c r="K197" s="209"/>
      <c r="L197" s="128" t="str">
        <f t="shared" si="6"/>
        <v/>
      </c>
      <c r="M197" s="111"/>
      <c r="N197" t="str">
        <f t="shared" si="7"/>
        <v/>
      </c>
      <c r="O197" s="5" t="str">
        <f t="shared" si="8"/>
        <v/>
      </c>
    </row>
    <row r="198" spans="2:15" ht="12.75" customHeight="1" x14ac:dyDescent="0.3">
      <c r="B198" s="202"/>
      <c r="C198" s="202"/>
      <c r="D198" s="210"/>
      <c r="E198" s="210"/>
      <c r="F198" s="210"/>
      <c r="G198" s="211"/>
      <c r="H198" s="214"/>
      <c r="I198" s="207"/>
      <c r="J198" s="208"/>
      <c r="K198" s="209"/>
      <c r="L198" s="128" t="str">
        <f t="shared" si="6"/>
        <v/>
      </c>
      <c r="M198" s="111"/>
      <c r="N198" t="str">
        <f t="shared" si="7"/>
        <v/>
      </c>
      <c r="O198" s="5" t="str">
        <f t="shared" si="8"/>
        <v/>
      </c>
    </row>
    <row r="199" spans="2:15" ht="12.75" customHeight="1" x14ac:dyDescent="0.3">
      <c r="B199" s="202"/>
      <c r="C199" s="202"/>
      <c r="D199" s="210"/>
      <c r="E199" s="210"/>
      <c r="F199" s="210"/>
      <c r="G199" s="211"/>
      <c r="H199" s="214"/>
      <c r="I199" s="207"/>
      <c r="J199" s="208"/>
      <c r="K199" s="209"/>
      <c r="L199" s="128" t="str">
        <f t="shared" ref="L199:L255" si="9">IF(AND(OR($B199="",$C199="",$G199="",$H199="",$J199="",$K199="",AND($C199="Factuur",$J199="Openstaand",$F199="")),NOT(AND($B199="",$C199="",$G199="",$H199="",$J199="",$K199=""))),"Er ontbreken gegevens",IF(AND(NOT(ISBLANK($B199)),$O199&lt;&gt;$K$1),IF(AND($O199&lt;$K$1,$J199="Openstaand"),"Op beginbalans","Datum buiten boekjaar"),""))</f>
        <v/>
      </c>
      <c r="M199" s="111"/>
      <c r="N199" t="str">
        <f t="shared" ref="N199:N262" si="10">IFERROR(IF($B199="","",MONTH($B$6:$B$500)),0)</f>
        <v/>
      </c>
      <c r="O199" s="5" t="str">
        <f t="shared" ref="O199:O262" si="11">IFERROR(IF($B199="","",YEAR($B$6:$B$500)),0)</f>
        <v/>
      </c>
    </row>
    <row r="200" spans="2:15" ht="12.75" customHeight="1" x14ac:dyDescent="0.3">
      <c r="B200" s="202"/>
      <c r="C200" s="202"/>
      <c r="D200" s="210"/>
      <c r="E200" s="210"/>
      <c r="F200" s="210"/>
      <c r="G200" s="211"/>
      <c r="H200" s="214"/>
      <c r="I200" s="207"/>
      <c r="J200" s="208"/>
      <c r="K200" s="209"/>
      <c r="L200" s="128" t="str">
        <f t="shared" si="9"/>
        <v/>
      </c>
      <c r="M200" s="111"/>
      <c r="N200" t="str">
        <f t="shared" si="10"/>
        <v/>
      </c>
      <c r="O200" s="5" t="str">
        <f t="shared" si="11"/>
        <v/>
      </c>
    </row>
    <row r="201" spans="2:15" ht="12.75" customHeight="1" x14ac:dyDescent="0.3">
      <c r="B201" s="202"/>
      <c r="C201" s="202"/>
      <c r="D201" s="210"/>
      <c r="E201" s="210"/>
      <c r="F201" s="210"/>
      <c r="G201" s="211"/>
      <c r="H201" s="214"/>
      <c r="I201" s="207"/>
      <c r="J201" s="208"/>
      <c r="K201" s="209"/>
      <c r="L201" s="128" t="str">
        <f t="shared" si="9"/>
        <v/>
      </c>
      <c r="M201" s="111"/>
      <c r="N201" t="str">
        <f t="shared" si="10"/>
        <v/>
      </c>
      <c r="O201" s="5" t="str">
        <f t="shared" si="11"/>
        <v/>
      </c>
    </row>
    <row r="202" spans="2:15" ht="12.75" customHeight="1" x14ac:dyDescent="0.3">
      <c r="B202" s="202"/>
      <c r="C202" s="202"/>
      <c r="D202" s="210"/>
      <c r="E202" s="210"/>
      <c r="F202" s="210"/>
      <c r="G202" s="211"/>
      <c r="H202" s="214"/>
      <c r="I202" s="207"/>
      <c r="J202" s="208"/>
      <c r="K202" s="209"/>
      <c r="L202" s="128" t="str">
        <f t="shared" si="9"/>
        <v/>
      </c>
      <c r="M202" s="111"/>
      <c r="N202" t="str">
        <f t="shared" si="10"/>
        <v/>
      </c>
      <c r="O202" s="5" t="str">
        <f t="shared" si="11"/>
        <v/>
      </c>
    </row>
    <row r="203" spans="2:15" ht="12.75" customHeight="1" x14ac:dyDescent="0.3">
      <c r="B203" s="202"/>
      <c r="C203" s="202"/>
      <c r="D203" s="210"/>
      <c r="E203" s="210"/>
      <c r="F203" s="210"/>
      <c r="G203" s="211"/>
      <c r="H203" s="214"/>
      <c r="I203" s="207"/>
      <c r="J203" s="208"/>
      <c r="K203" s="209"/>
      <c r="L203" s="128" t="str">
        <f t="shared" si="9"/>
        <v/>
      </c>
      <c r="M203" s="111"/>
      <c r="N203" t="str">
        <f t="shared" si="10"/>
        <v/>
      </c>
      <c r="O203" s="5" t="str">
        <f t="shared" si="11"/>
        <v/>
      </c>
    </row>
    <row r="204" spans="2:15" ht="12.75" customHeight="1" x14ac:dyDescent="0.3">
      <c r="B204" s="202"/>
      <c r="C204" s="202"/>
      <c r="D204" s="210"/>
      <c r="E204" s="210"/>
      <c r="F204" s="210"/>
      <c r="G204" s="211"/>
      <c r="H204" s="214"/>
      <c r="I204" s="207"/>
      <c r="J204" s="208"/>
      <c r="K204" s="209"/>
      <c r="L204" s="128" t="str">
        <f t="shared" si="9"/>
        <v/>
      </c>
      <c r="M204" s="111"/>
      <c r="N204" t="str">
        <f t="shared" si="10"/>
        <v/>
      </c>
      <c r="O204" s="5" t="str">
        <f t="shared" si="11"/>
        <v/>
      </c>
    </row>
    <row r="205" spans="2:15" ht="12.75" customHeight="1" x14ac:dyDescent="0.3">
      <c r="B205" s="202"/>
      <c r="C205" s="202"/>
      <c r="D205" s="210"/>
      <c r="E205" s="210"/>
      <c r="F205" s="210"/>
      <c r="G205" s="211"/>
      <c r="H205" s="214"/>
      <c r="I205" s="207"/>
      <c r="J205" s="208"/>
      <c r="K205" s="209"/>
      <c r="L205" s="128" t="str">
        <f t="shared" si="9"/>
        <v/>
      </c>
      <c r="M205" s="111"/>
      <c r="N205" t="str">
        <f t="shared" si="10"/>
        <v/>
      </c>
      <c r="O205" s="5" t="str">
        <f t="shared" si="11"/>
        <v/>
      </c>
    </row>
    <row r="206" spans="2:15" ht="12.75" customHeight="1" x14ac:dyDescent="0.3">
      <c r="B206" s="202"/>
      <c r="C206" s="202"/>
      <c r="D206" s="210"/>
      <c r="E206" s="210"/>
      <c r="F206" s="210"/>
      <c r="G206" s="211"/>
      <c r="H206" s="214"/>
      <c r="I206" s="207"/>
      <c r="J206" s="208"/>
      <c r="K206" s="209"/>
      <c r="L206" s="128" t="str">
        <f t="shared" si="9"/>
        <v/>
      </c>
      <c r="M206" s="111"/>
      <c r="N206" t="str">
        <f t="shared" si="10"/>
        <v/>
      </c>
      <c r="O206" s="5" t="str">
        <f t="shared" si="11"/>
        <v/>
      </c>
    </row>
    <row r="207" spans="2:15" ht="12.75" customHeight="1" x14ac:dyDescent="0.3">
      <c r="B207" s="202"/>
      <c r="C207" s="202"/>
      <c r="D207" s="210"/>
      <c r="E207" s="210"/>
      <c r="F207" s="210"/>
      <c r="G207" s="211"/>
      <c r="H207" s="214"/>
      <c r="I207" s="207"/>
      <c r="J207" s="208"/>
      <c r="K207" s="209"/>
      <c r="L207" s="128" t="str">
        <f t="shared" si="9"/>
        <v/>
      </c>
      <c r="M207" s="111"/>
      <c r="N207" t="str">
        <f t="shared" si="10"/>
        <v/>
      </c>
      <c r="O207" s="5" t="str">
        <f t="shared" si="11"/>
        <v/>
      </c>
    </row>
    <row r="208" spans="2:15" ht="12.75" customHeight="1" x14ac:dyDescent="0.3">
      <c r="B208" s="202"/>
      <c r="C208" s="202"/>
      <c r="D208" s="210"/>
      <c r="E208" s="210"/>
      <c r="F208" s="210"/>
      <c r="G208" s="211"/>
      <c r="H208" s="214"/>
      <c r="I208" s="207"/>
      <c r="J208" s="208"/>
      <c r="K208" s="209"/>
      <c r="L208" s="128" t="str">
        <f t="shared" si="9"/>
        <v/>
      </c>
      <c r="M208" s="111"/>
      <c r="N208" t="str">
        <f t="shared" si="10"/>
        <v/>
      </c>
      <c r="O208" s="5" t="str">
        <f t="shared" si="11"/>
        <v/>
      </c>
    </row>
    <row r="209" spans="2:15" ht="12.75" customHeight="1" x14ac:dyDescent="0.3">
      <c r="B209" s="202"/>
      <c r="C209" s="202"/>
      <c r="D209" s="210"/>
      <c r="E209" s="210"/>
      <c r="F209" s="210"/>
      <c r="G209" s="211"/>
      <c r="H209" s="214"/>
      <c r="I209" s="207"/>
      <c r="J209" s="208"/>
      <c r="K209" s="209"/>
      <c r="L209" s="128" t="str">
        <f t="shared" si="9"/>
        <v/>
      </c>
      <c r="M209" s="111"/>
      <c r="N209" t="str">
        <f t="shared" si="10"/>
        <v/>
      </c>
      <c r="O209" s="5" t="str">
        <f t="shared" si="11"/>
        <v/>
      </c>
    </row>
    <row r="210" spans="2:15" ht="12.75" customHeight="1" x14ac:dyDescent="0.3">
      <c r="B210" s="202"/>
      <c r="C210" s="202"/>
      <c r="D210" s="210"/>
      <c r="E210" s="210"/>
      <c r="F210" s="210"/>
      <c r="G210" s="211"/>
      <c r="H210" s="214"/>
      <c r="I210" s="207"/>
      <c r="J210" s="208"/>
      <c r="K210" s="209"/>
      <c r="L210" s="128" t="str">
        <f t="shared" si="9"/>
        <v/>
      </c>
      <c r="M210" s="111"/>
      <c r="N210" t="str">
        <f t="shared" si="10"/>
        <v/>
      </c>
      <c r="O210" s="5" t="str">
        <f t="shared" si="11"/>
        <v/>
      </c>
    </row>
    <row r="211" spans="2:15" ht="12.75" customHeight="1" x14ac:dyDescent="0.3">
      <c r="B211" s="202"/>
      <c r="C211" s="202"/>
      <c r="D211" s="210"/>
      <c r="E211" s="210"/>
      <c r="F211" s="210"/>
      <c r="G211" s="211"/>
      <c r="H211" s="214"/>
      <c r="I211" s="207"/>
      <c r="J211" s="208"/>
      <c r="K211" s="209"/>
      <c r="L211" s="128" t="str">
        <f t="shared" si="9"/>
        <v/>
      </c>
      <c r="M211" s="111"/>
      <c r="N211" t="str">
        <f t="shared" si="10"/>
        <v/>
      </c>
      <c r="O211" s="5" t="str">
        <f t="shared" si="11"/>
        <v/>
      </c>
    </row>
    <row r="212" spans="2:15" ht="12.75" customHeight="1" x14ac:dyDescent="0.3">
      <c r="B212" s="202"/>
      <c r="C212" s="202"/>
      <c r="D212" s="210"/>
      <c r="E212" s="210"/>
      <c r="F212" s="210"/>
      <c r="G212" s="211"/>
      <c r="H212" s="214"/>
      <c r="I212" s="207"/>
      <c r="J212" s="208"/>
      <c r="K212" s="209"/>
      <c r="L212" s="128" t="str">
        <f t="shared" si="9"/>
        <v/>
      </c>
      <c r="M212" s="111"/>
      <c r="N212" t="str">
        <f t="shared" si="10"/>
        <v/>
      </c>
      <c r="O212" s="5" t="str">
        <f t="shared" si="11"/>
        <v/>
      </c>
    </row>
    <row r="213" spans="2:15" ht="12.75" customHeight="1" x14ac:dyDescent="0.3">
      <c r="B213" s="202"/>
      <c r="C213" s="202"/>
      <c r="D213" s="210"/>
      <c r="E213" s="210"/>
      <c r="F213" s="210"/>
      <c r="G213" s="211"/>
      <c r="H213" s="214"/>
      <c r="I213" s="207"/>
      <c r="J213" s="208"/>
      <c r="K213" s="209"/>
      <c r="L213" s="128" t="str">
        <f t="shared" si="9"/>
        <v/>
      </c>
      <c r="M213" s="111"/>
      <c r="N213" t="str">
        <f t="shared" si="10"/>
        <v/>
      </c>
      <c r="O213" s="5" t="str">
        <f t="shared" si="11"/>
        <v/>
      </c>
    </row>
    <row r="214" spans="2:15" ht="12.75" customHeight="1" x14ac:dyDescent="0.3">
      <c r="B214" s="202"/>
      <c r="C214" s="202"/>
      <c r="D214" s="210"/>
      <c r="E214" s="210"/>
      <c r="F214" s="210"/>
      <c r="G214" s="211"/>
      <c r="H214" s="214"/>
      <c r="I214" s="207"/>
      <c r="J214" s="208"/>
      <c r="K214" s="209"/>
      <c r="L214" s="128" t="str">
        <f t="shared" si="9"/>
        <v/>
      </c>
      <c r="M214" s="111"/>
      <c r="N214" t="str">
        <f t="shared" si="10"/>
        <v/>
      </c>
      <c r="O214" s="5" t="str">
        <f t="shared" si="11"/>
        <v/>
      </c>
    </row>
    <row r="215" spans="2:15" ht="12.75" customHeight="1" x14ac:dyDescent="0.3">
      <c r="B215" s="202"/>
      <c r="C215" s="202"/>
      <c r="D215" s="210"/>
      <c r="E215" s="210"/>
      <c r="F215" s="210"/>
      <c r="G215" s="211"/>
      <c r="H215" s="214"/>
      <c r="I215" s="207"/>
      <c r="J215" s="208"/>
      <c r="K215" s="209"/>
      <c r="L215" s="128" t="str">
        <f t="shared" si="9"/>
        <v/>
      </c>
      <c r="M215" s="111"/>
      <c r="N215" t="str">
        <f t="shared" si="10"/>
        <v/>
      </c>
      <c r="O215" s="5" t="str">
        <f t="shared" si="11"/>
        <v/>
      </c>
    </row>
    <row r="216" spans="2:15" ht="12.75" customHeight="1" x14ac:dyDescent="0.3">
      <c r="B216" s="202"/>
      <c r="C216" s="202"/>
      <c r="D216" s="210"/>
      <c r="E216" s="210"/>
      <c r="F216" s="210"/>
      <c r="G216" s="211"/>
      <c r="H216" s="214"/>
      <c r="I216" s="207"/>
      <c r="J216" s="208"/>
      <c r="K216" s="209"/>
      <c r="L216" s="128" t="str">
        <f t="shared" si="9"/>
        <v/>
      </c>
      <c r="M216" s="111"/>
      <c r="N216" t="str">
        <f t="shared" si="10"/>
        <v/>
      </c>
      <c r="O216" s="5" t="str">
        <f t="shared" si="11"/>
        <v/>
      </c>
    </row>
    <row r="217" spans="2:15" x14ac:dyDescent="0.3">
      <c r="B217" s="202"/>
      <c r="C217" s="202"/>
      <c r="D217" s="210"/>
      <c r="E217" s="210"/>
      <c r="F217" s="210"/>
      <c r="G217" s="211"/>
      <c r="H217" s="214"/>
      <c r="I217" s="207"/>
      <c r="J217" s="208"/>
      <c r="K217" s="209"/>
      <c r="L217" s="128" t="str">
        <f t="shared" si="9"/>
        <v/>
      </c>
      <c r="M217" s="111"/>
      <c r="N217" t="str">
        <f t="shared" si="10"/>
        <v/>
      </c>
      <c r="O217" s="5" t="str">
        <f t="shared" si="11"/>
        <v/>
      </c>
    </row>
    <row r="218" spans="2:15" x14ac:dyDescent="0.3">
      <c r="B218" s="202"/>
      <c r="C218" s="202"/>
      <c r="D218" s="210"/>
      <c r="E218" s="210"/>
      <c r="F218" s="210"/>
      <c r="G218" s="211"/>
      <c r="H218" s="214"/>
      <c r="I218" s="207"/>
      <c r="J218" s="208"/>
      <c r="K218" s="209"/>
      <c r="L218" s="128" t="str">
        <f t="shared" si="9"/>
        <v/>
      </c>
      <c r="M218" s="111"/>
      <c r="N218" t="str">
        <f t="shared" si="10"/>
        <v/>
      </c>
      <c r="O218" s="5" t="str">
        <f t="shared" si="11"/>
        <v/>
      </c>
    </row>
    <row r="219" spans="2:15" x14ac:dyDescent="0.3">
      <c r="B219" s="202"/>
      <c r="C219" s="202"/>
      <c r="D219" s="210"/>
      <c r="E219" s="210"/>
      <c r="F219" s="210"/>
      <c r="G219" s="211"/>
      <c r="H219" s="214"/>
      <c r="I219" s="207"/>
      <c r="J219" s="208"/>
      <c r="K219" s="209"/>
      <c r="L219" s="128" t="str">
        <f t="shared" si="9"/>
        <v/>
      </c>
      <c r="M219" s="111"/>
      <c r="N219" t="str">
        <f t="shared" si="10"/>
        <v/>
      </c>
      <c r="O219" s="5" t="str">
        <f t="shared" si="11"/>
        <v/>
      </c>
    </row>
    <row r="220" spans="2:15" x14ac:dyDescent="0.3">
      <c r="B220" s="202"/>
      <c r="C220" s="202"/>
      <c r="D220" s="210"/>
      <c r="E220" s="210"/>
      <c r="F220" s="210"/>
      <c r="G220" s="211"/>
      <c r="H220" s="214"/>
      <c r="I220" s="207"/>
      <c r="J220" s="208"/>
      <c r="K220" s="209"/>
      <c r="L220" s="128" t="str">
        <f t="shared" si="9"/>
        <v/>
      </c>
      <c r="M220" s="111"/>
      <c r="N220" t="str">
        <f t="shared" si="10"/>
        <v/>
      </c>
      <c r="O220" s="5" t="str">
        <f t="shared" si="11"/>
        <v/>
      </c>
    </row>
    <row r="221" spans="2:15" x14ac:dyDescent="0.3">
      <c r="B221" s="202"/>
      <c r="C221" s="202"/>
      <c r="D221" s="210"/>
      <c r="E221" s="210"/>
      <c r="F221" s="210"/>
      <c r="G221" s="211"/>
      <c r="H221" s="214"/>
      <c r="I221" s="207"/>
      <c r="J221" s="208"/>
      <c r="K221" s="209"/>
      <c r="L221" s="128" t="str">
        <f t="shared" si="9"/>
        <v/>
      </c>
      <c r="M221" s="111"/>
      <c r="N221" t="str">
        <f t="shared" si="10"/>
        <v/>
      </c>
      <c r="O221" s="5" t="str">
        <f t="shared" si="11"/>
        <v/>
      </c>
    </row>
    <row r="222" spans="2:15" x14ac:dyDescent="0.3">
      <c r="B222" s="202"/>
      <c r="C222" s="202"/>
      <c r="D222" s="210"/>
      <c r="E222" s="210"/>
      <c r="F222" s="210"/>
      <c r="G222" s="211"/>
      <c r="H222" s="214"/>
      <c r="I222" s="207"/>
      <c r="J222" s="208"/>
      <c r="K222" s="209"/>
      <c r="L222" s="128" t="str">
        <f t="shared" si="9"/>
        <v/>
      </c>
      <c r="M222" s="111"/>
      <c r="N222" t="str">
        <f t="shared" si="10"/>
        <v/>
      </c>
      <c r="O222" s="5" t="str">
        <f t="shared" si="11"/>
        <v/>
      </c>
    </row>
    <row r="223" spans="2:15" x14ac:dyDescent="0.3">
      <c r="B223" s="202"/>
      <c r="C223" s="202"/>
      <c r="D223" s="210"/>
      <c r="E223" s="210"/>
      <c r="F223" s="210"/>
      <c r="G223" s="211"/>
      <c r="H223" s="214"/>
      <c r="I223" s="207"/>
      <c r="J223" s="208"/>
      <c r="K223" s="209"/>
      <c r="L223" s="128" t="str">
        <f t="shared" si="9"/>
        <v/>
      </c>
      <c r="M223" s="111"/>
      <c r="N223" t="str">
        <f t="shared" si="10"/>
        <v/>
      </c>
      <c r="O223" s="5" t="str">
        <f t="shared" si="11"/>
        <v/>
      </c>
    </row>
    <row r="224" spans="2:15" x14ac:dyDescent="0.3">
      <c r="B224" s="202"/>
      <c r="C224" s="202"/>
      <c r="D224" s="210"/>
      <c r="E224" s="210"/>
      <c r="F224" s="210"/>
      <c r="G224" s="211"/>
      <c r="H224" s="214"/>
      <c r="I224" s="207"/>
      <c r="J224" s="208"/>
      <c r="K224" s="209"/>
      <c r="L224" s="128" t="str">
        <f t="shared" si="9"/>
        <v/>
      </c>
      <c r="M224" s="111"/>
      <c r="N224" t="str">
        <f t="shared" si="10"/>
        <v/>
      </c>
      <c r="O224" s="5" t="str">
        <f t="shared" si="11"/>
        <v/>
      </c>
    </row>
    <row r="225" spans="2:15" x14ac:dyDescent="0.3">
      <c r="B225" s="202"/>
      <c r="C225" s="202"/>
      <c r="D225" s="210"/>
      <c r="E225" s="210"/>
      <c r="F225" s="210"/>
      <c r="G225" s="211"/>
      <c r="H225" s="214"/>
      <c r="I225" s="207"/>
      <c r="J225" s="208"/>
      <c r="K225" s="209"/>
      <c r="L225" s="128" t="str">
        <f t="shared" si="9"/>
        <v/>
      </c>
      <c r="M225" s="111"/>
      <c r="N225" t="str">
        <f t="shared" si="10"/>
        <v/>
      </c>
      <c r="O225" s="5" t="str">
        <f t="shared" si="11"/>
        <v/>
      </c>
    </row>
    <row r="226" spans="2:15" x14ac:dyDescent="0.3">
      <c r="B226" s="202"/>
      <c r="C226" s="202"/>
      <c r="D226" s="210"/>
      <c r="E226" s="210"/>
      <c r="F226" s="210"/>
      <c r="G226" s="211"/>
      <c r="H226" s="214"/>
      <c r="I226" s="207"/>
      <c r="J226" s="208"/>
      <c r="K226" s="209"/>
      <c r="L226" s="128" t="str">
        <f t="shared" si="9"/>
        <v/>
      </c>
      <c r="M226" s="111"/>
      <c r="N226" t="str">
        <f t="shared" si="10"/>
        <v/>
      </c>
      <c r="O226" s="5" t="str">
        <f t="shared" si="11"/>
        <v/>
      </c>
    </row>
    <row r="227" spans="2:15" x14ac:dyDescent="0.3">
      <c r="B227" s="202"/>
      <c r="C227" s="202"/>
      <c r="D227" s="210"/>
      <c r="E227" s="210"/>
      <c r="F227" s="210"/>
      <c r="G227" s="211"/>
      <c r="H227" s="214"/>
      <c r="I227" s="207"/>
      <c r="J227" s="208"/>
      <c r="K227" s="209"/>
      <c r="L227" s="128" t="str">
        <f t="shared" si="9"/>
        <v/>
      </c>
      <c r="M227" s="111"/>
      <c r="N227" t="str">
        <f t="shared" si="10"/>
        <v/>
      </c>
      <c r="O227" s="5" t="str">
        <f t="shared" si="11"/>
        <v/>
      </c>
    </row>
    <row r="228" spans="2:15" x14ac:dyDescent="0.3">
      <c r="B228" s="202"/>
      <c r="C228" s="202"/>
      <c r="D228" s="210"/>
      <c r="E228" s="210"/>
      <c r="F228" s="210"/>
      <c r="G228" s="211"/>
      <c r="H228" s="214"/>
      <c r="I228" s="207"/>
      <c r="J228" s="208"/>
      <c r="K228" s="209"/>
      <c r="L228" s="128" t="str">
        <f t="shared" si="9"/>
        <v/>
      </c>
      <c r="M228" s="111"/>
      <c r="N228" t="str">
        <f t="shared" si="10"/>
        <v/>
      </c>
      <c r="O228" s="5" t="str">
        <f t="shared" si="11"/>
        <v/>
      </c>
    </row>
    <row r="229" spans="2:15" x14ac:dyDescent="0.3">
      <c r="B229" s="202"/>
      <c r="C229" s="202"/>
      <c r="D229" s="210"/>
      <c r="E229" s="210"/>
      <c r="F229" s="210"/>
      <c r="G229" s="211"/>
      <c r="H229" s="214"/>
      <c r="I229" s="207"/>
      <c r="J229" s="208"/>
      <c r="K229" s="209"/>
      <c r="L229" s="128" t="str">
        <f t="shared" si="9"/>
        <v/>
      </c>
      <c r="M229" s="111"/>
      <c r="N229" t="str">
        <f t="shared" si="10"/>
        <v/>
      </c>
      <c r="O229" s="5" t="str">
        <f t="shared" si="11"/>
        <v/>
      </c>
    </row>
    <row r="230" spans="2:15" x14ac:dyDescent="0.3">
      <c r="B230" s="202"/>
      <c r="C230" s="202"/>
      <c r="D230" s="210"/>
      <c r="E230" s="210"/>
      <c r="F230" s="210"/>
      <c r="G230" s="211"/>
      <c r="H230" s="214"/>
      <c r="I230" s="207"/>
      <c r="J230" s="208"/>
      <c r="K230" s="209"/>
      <c r="L230" s="128" t="str">
        <f t="shared" si="9"/>
        <v/>
      </c>
      <c r="M230" s="111"/>
      <c r="N230" t="str">
        <f t="shared" si="10"/>
        <v/>
      </c>
      <c r="O230" s="5" t="str">
        <f t="shared" si="11"/>
        <v/>
      </c>
    </row>
    <row r="231" spans="2:15" x14ac:dyDescent="0.3">
      <c r="B231" s="202"/>
      <c r="C231" s="202"/>
      <c r="D231" s="210"/>
      <c r="E231" s="210"/>
      <c r="F231" s="210"/>
      <c r="G231" s="211"/>
      <c r="H231" s="214"/>
      <c r="I231" s="207"/>
      <c r="J231" s="208"/>
      <c r="K231" s="209"/>
      <c r="L231" s="128" t="str">
        <f t="shared" si="9"/>
        <v/>
      </c>
      <c r="M231" s="111"/>
      <c r="N231" t="str">
        <f t="shared" si="10"/>
        <v/>
      </c>
      <c r="O231" s="5" t="str">
        <f t="shared" si="11"/>
        <v/>
      </c>
    </row>
    <row r="232" spans="2:15" x14ac:dyDescent="0.3">
      <c r="B232" s="202"/>
      <c r="C232" s="202"/>
      <c r="D232" s="210"/>
      <c r="E232" s="210"/>
      <c r="F232" s="210"/>
      <c r="G232" s="211"/>
      <c r="H232" s="214"/>
      <c r="I232" s="207"/>
      <c r="J232" s="208"/>
      <c r="K232" s="209"/>
      <c r="L232" s="128" t="str">
        <f t="shared" si="9"/>
        <v/>
      </c>
      <c r="M232" s="111"/>
      <c r="N232" t="str">
        <f t="shared" si="10"/>
        <v/>
      </c>
      <c r="O232" s="5" t="str">
        <f t="shared" si="11"/>
        <v/>
      </c>
    </row>
    <row r="233" spans="2:15" x14ac:dyDescent="0.3">
      <c r="B233" s="202"/>
      <c r="C233" s="202"/>
      <c r="D233" s="210"/>
      <c r="E233" s="210"/>
      <c r="F233" s="210"/>
      <c r="G233" s="211"/>
      <c r="H233" s="214"/>
      <c r="I233" s="207"/>
      <c r="J233" s="208"/>
      <c r="K233" s="209"/>
      <c r="L233" s="128" t="str">
        <f t="shared" si="9"/>
        <v/>
      </c>
      <c r="M233" s="111"/>
      <c r="N233" t="str">
        <f t="shared" si="10"/>
        <v/>
      </c>
      <c r="O233" s="5" t="str">
        <f t="shared" si="11"/>
        <v/>
      </c>
    </row>
    <row r="234" spans="2:15" x14ac:dyDescent="0.3">
      <c r="B234" s="202"/>
      <c r="C234" s="202"/>
      <c r="D234" s="210"/>
      <c r="E234" s="210"/>
      <c r="F234" s="210"/>
      <c r="G234" s="211"/>
      <c r="H234" s="214"/>
      <c r="I234" s="207"/>
      <c r="J234" s="208"/>
      <c r="K234" s="209"/>
      <c r="L234" s="128" t="str">
        <f t="shared" si="9"/>
        <v/>
      </c>
      <c r="M234" s="111"/>
      <c r="N234" t="str">
        <f t="shared" si="10"/>
        <v/>
      </c>
      <c r="O234" s="5" t="str">
        <f t="shared" si="11"/>
        <v/>
      </c>
    </row>
    <row r="235" spans="2:15" x14ac:dyDescent="0.3">
      <c r="B235" s="202"/>
      <c r="C235" s="202"/>
      <c r="D235" s="210"/>
      <c r="E235" s="210"/>
      <c r="F235" s="210"/>
      <c r="G235" s="211"/>
      <c r="H235" s="214"/>
      <c r="I235" s="207"/>
      <c r="J235" s="208"/>
      <c r="K235" s="209"/>
      <c r="L235" s="128" t="str">
        <f t="shared" si="9"/>
        <v/>
      </c>
      <c r="M235" s="111"/>
      <c r="N235" t="str">
        <f t="shared" si="10"/>
        <v/>
      </c>
      <c r="O235" s="5" t="str">
        <f t="shared" si="11"/>
        <v/>
      </c>
    </row>
    <row r="236" spans="2:15" x14ac:dyDescent="0.3">
      <c r="B236" s="202"/>
      <c r="C236" s="202"/>
      <c r="D236" s="210"/>
      <c r="E236" s="210"/>
      <c r="F236" s="210"/>
      <c r="G236" s="211"/>
      <c r="H236" s="214"/>
      <c r="I236" s="207"/>
      <c r="J236" s="208"/>
      <c r="K236" s="209"/>
      <c r="L236" s="128" t="str">
        <f t="shared" si="9"/>
        <v/>
      </c>
      <c r="M236" s="111"/>
      <c r="N236" t="str">
        <f t="shared" si="10"/>
        <v/>
      </c>
      <c r="O236" s="5" t="str">
        <f t="shared" si="11"/>
        <v/>
      </c>
    </row>
    <row r="237" spans="2:15" x14ac:dyDescent="0.3">
      <c r="B237" s="202"/>
      <c r="C237" s="202"/>
      <c r="D237" s="210"/>
      <c r="E237" s="210"/>
      <c r="F237" s="210"/>
      <c r="G237" s="211"/>
      <c r="H237" s="214"/>
      <c r="I237" s="207"/>
      <c r="J237" s="208"/>
      <c r="K237" s="209"/>
      <c r="L237" s="128" t="str">
        <f t="shared" si="9"/>
        <v/>
      </c>
      <c r="M237" s="111"/>
      <c r="N237" t="str">
        <f t="shared" si="10"/>
        <v/>
      </c>
      <c r="O237" s="5" t="str">
        <f t="shared" si="11"/>
        <v/>
      </c>
    </row>
    <row r="238" spans="2:15" x14ac:dyDescent="0.3">
      <c r="B238" s="202"/>
      <c r="C238" s="202"/>
      <c r="D238" s="210"/>
      <c r="E238" s="210"/>
      <c r="F238" s="210"/>
      <c r="G238" s="211"/>
      <c r="H238" s="214"/>
      <c r="I238" s="207"/>
      <c r="J238" s="208"/>
      <c r="K238" s="209"/>
      <c r="L238" s="128" t="str">
        <f t="shared" si="9"/>
        <v/>
      </c>
      <c r="M238" s="111"/>
      <c r="N238" t="str">
        <f t="shared" si="10"/>
        <v/>
      </c>
      <c r="O238" s="5" t="str">
        <f t="shared" si="11"/>
        <v/>
      </c>
    </row>
    <row r="239" spans="2:15" x14ac:dyDescent="0.3">
      <c r="B239" s="202"/>
      <c r="C239" s="202"/>
      <c r="D239" s="210"/>
      <c r="E239" s="210"/>
      <c r="F239" s="210"/>
      <c r="G239" s="211"/>
      <c r="H239" s="214"/>
      <c r="I239" s="207"/>
      <c r="J239" s="208"/>
      <c r="K239" s="209"/>
      <c r="L239" s="128" t="str">
        <f t="shared" si="9"/>
        <v/>
      </c>
      <c r="M239" s="111"/>
      <c r="N239" t="str">
        <f t="shared" si="10"/>
        <v/>
      </c>
      <c r="O239" s="5" t="str">
        <f t="shared" si="11"/>
        <v/>
      </c>
    </row>
    <row r="240" spans="2:15" x14ac:dyDescent="0.3">
      <c r="B240" s="202"/>
      <c r="C240" s="202"/>
      <c r="D240" s="210"/>
      <c r="E240" s="210"/>
      <c r="F240" s="210"/>
      <c r="G240" s="211"/>
      <c r="H240" s="214"/>
      <c r="I240" s="207"/>
      <c r="J240" s="208"/>
      <c r="K240" s="209"/>
      <c r="L240" s="128" t="str">
        <f t="shared" si="9"/>
        <v/>
      </c>
      <c r="M240" s="111"/>
      <c r="N240" t="str">
        <f t="shared" si="10"/>
        <v/>
      </c>
      <c r="O240" s="5" t="str">
        <f t="shared" si="11"/>
        <v/>
      </c>
    </row>
    <row r="241" spans="2:15" x14ac:dyDescent="0.3">
      <c r="B241" s="202"/>
      <c r="C241" s="202"/>
      <c r="D241" s="210"/>
      <c r="E241" s="210"/>
      <c r="F241" s="210"/>
      <c r="G241" s="211"/>
      <c r="H241" s="214"/>
      <c r="I241" s="207"/>
      <c r="J241" s="208"/>
      <c r="K241" s="209"/>
      <c r="L241" s="128" t="str">
        <f t="shared" si="9"/>
        <v/>
      </c>
      <c r="M241" s="111"/>
      <c r="N241" t="str">
        <f t="shared" si="10"/>
        <v/>
      </c>
      <c r="O241" s="5" t="str">
        <f t="shared" si="11"/>
        <v/>
      </c>
    </row>
    <row r="242" spans="2:15" x14ac:dyDescent="0.3">
      <c r="B242" s="202"/>
      <c r="C242" s="202"/>
      <c r="D242" s="210"/>
      <c r="E242" s="210"/>
      <c r="F242" s="210"/>
      <c r="G242" s="211"/>
      <c r="H242" s="214"/>
      <c r="I242" s="207"/>
      <c r="J242" s="208"/>
      <c r="K242" s="209"/>
      <c r="L242" s="128" t="str">
        <f t="shared" si="9"/>
        <v/>
      </c>
      <c r="M242" s="111"/>
      <c r="N242" t="str">
        <f t="shared" si="10"/>
        <v/>
      </c>
      <c r="O242" s="5" t="str">
        <f t="shared" si="11"/>
        <v/>
      </c>
    </row>
    <row r="243" spans="2:15" x14ac:dyDescent="0.3">
      <c r="B243" s="202"/>
      <c r="C243" s="202"/>
      <c r="D243" s="210"/>
      <c r="E243" s="210"/>
      <c r="F243" s="210"/>
      <c r="G243" s="211"/>
      <c r="H243" s="214"/>
      <c r="I243" s="207"/>
      <c r="J243" s="208"/>
      <c r="K243" s="209"/>
      <c r="L243" s="128" t="str">
        <f t="shared" si="9"/>
        <v/>
      </c>
      <c r="M243" s="111"/>
      <c r="N243" t="str">
        <f t="shared" si="10"/>
        <v/>
      </c>
      <c r="O243" s="5" t="str">
        <f t="shared" si="11"/>
        <v/>
      </c>
    </row>
    <row r="244" spans="2:15" x14ac:dyDescent="0.3">
      <c r="B244" s="202"/>
      <c r="C244" s="202"/>
      <c r="D244" s="210"/>
      <c r="E244" s="210"/>
      <c r="F244" s="210"/>
      <c r="G244" s="211"/>
      <c r="H244" s="214"/>
      <c r="I244" s="207"/>
      <c r="J244" s="208"/>
      <c r="K244" s="209"/>
      <c r="L244" s="128" t="str">
        <f t="shared" si="9"/>
        <v/>
      </c>
      <c r="M244" s="111"/>
      <c r="N244" t="str">
        <f t="shared" si="10"/>
        <v/>
      </c>
      <c r="O244" s="5" t="str">
        <f t="shared" si="11"/>
        <v/>
      </c>
    </row>
    <row r="245" spans="2:15" x14ac:dyDescent="0.3">
      <c r="B245" s="202"/>
      <c r="C245" s="202"/>
      <c r="D245" s="210"/>
      <c r="E245" s="210"/>
      <c r="F245" s="210"/>
      <c r="G245" s="211"/>
      <c r="H245" s="214"/>
      <c r="I245" s="207"/>
      <c r="J245" s="208"/>
      <c r="K245" s="209"/>
      <c r="L245" s="128" t="str">
        <f t="shared" si="9"/>
        <v/>
      </c>
      <c r="M245" s="111"/>
      <c r="N245" t="str">
        <f t="shared" si="10"/>
        <v/>
      </c>
      <c r="O245" s="5" t="str">
        <f t="shared" si="11"/>
        <v/>
      </c>
    </row>
    <row r="246" spans="2:15" x14ac:dyDescent="0.3">
      <c r="B246" s="202"/>
      <c r="C246" s="202"/>
      <c r="D246" s="210"/>
      <c r="E246" s="210"/>
      <c r="F246" s="210"/>
      <c r="G246" s="211"/>
      <c r="H246" s="214"/>
      <c r="I246" s="207"/>
      <c r="J246" s="208"/>
      <c r="K246" s="209"/>
      <c r="L246" s="128" t="str">
        <f t="shared" si="9"/>
        <v/>
      </c>
      <c r="M246" s="111"/>
      <c r="N246" t="str">
        <f t="shared" si="10"/>
        <v/>
      </c>
      <c r="O246" s="5" t="str">
        <f t="shared" si="11"/>
        <v/>
      </c>
    </row>
    <row r="247" spans="2:15" x14ac:dyDescent="0.3">
      <c r="B247" s="202"/>
      <c r="C247" s="202"/>
      <c r="D247" s="210"/>
      <c r="E247" s="210"/>
      <c r="F247" s="210"/>
      <c r="G247" s="211"/>
      <c r="H247" s="214"/>
      <c r="I247" s="207"/>
      <c r="J247" s="208"/>
      <c r="K247" s="209"/>
      <c r="L247" s="128" t="str">
        <f t="shared" si="9"/>
        <v/>
      </c>
      <c r="M247" s="111"/>
      <c r="N247" t="str">
        <f t="shared" si="10"/>
        <v/>
      </c>
      <c r="O247" s="5" t="str">
        <f t="shared" si="11"/>
        <v/>
      </c>
    </row>
    <row r="248" spans="2:15" x14ac:dyDescent="0.3">
      <c r="B248" s="202"/>
      <c r="C248" s="202"/>
      <c r="D248" s="210"/>
      <c r="E248" s="210"/>
      <c r="F248" s="210"/>
      <c r="G248" s="211"/>
      <c r="H248" s="214"/>
      <c r="I248" s="207"/>
      <c r="J248" s="208"/>
      <c r="K248" s="209"/>
      <c r="L248" s="128" t="str">
        <f t="shared" si="9"/>
        <v/>
      </c>
      <c r="M248" s="111"/>
      <c r="N248" t="str">
        <f t="shared" si="10"/>
        <v/>
      </c>
      <c r="O248" s="5" t="str">
        <f t="shared" si="11"/>
        <v/>
      </c>
    </row>
    <row r="249" spans="2:15" x14ac:dyDescent="0.3">
      <c r="B249" s="202"/>
      <c r="C249" s="202"/>
      <c r="D249" s="210"/>
      <c r="E249" s="210"/>
      <c r="F249" s="210"/>
      <c r="G249" s="211"/>
      <c r="H249" s="214"/>
      <c r="I249" s="207"/>
      <c r="J249" s="208"/>
      <c r="K249" s="209"/>
      <c r="L249" s="128" t="str">
        <f t="shared" si="9"/>
        <v/>
      </c>
      <c r="M249" s="111"/>
      <c r="N249" t="str">
        <f t="shared" si="10"/>
        <v/>
      </c>
      <c r="O249" s="5" t="str">
        <f t="shared" si="11"/>
        <v/>
      </c>
    </row>
    <row r="250" spans="2:15" x14ac:dyDescent="0.3">
      <c r="B250" s="202"/>
      <c r="C250" s="202"/>
      <c r="D250" s="210"/>
      <c r="E250" s="210"/>
      <c r="F250" s="210"/>
      <c r="G250" s="211"/>
      <c r="H250" s="214"/>
      <c r="I250" s="207"/>
      <c r="J250" s="208"/>
      <c r="K250" s="209"/>
      <c r="L250" s="128" t="str">
        <f t="shared" si="9"/>
        <v/>
      </c>
      <c r="M250" s="111"/>
      <c r="N250" t="str">
        <f t="shared" si="10"/>
        <v/>
      </c>
      <c r="O250" s="5" t="str">
        <f t="shared" si="11"/>
        <v/>
      </c>
    </row>
    <row r="251" spans="2:15" x14ac:dyDescent="0.3">
      <c r="B251" s="202"/>
      <c r="C251" s="202"/>
      <c r="D251" s="210"/>
      <c r="E251" s="210"/>
      <c r="F251" s="210"/>
      <c r="G251" s="211"/>
      <c r="H251" s="214"/>
      <c r="I251" s="207"/>
      <c r="J251" s="208"/>
      <c r="K251" s="209"/>
      <c r="L251" s="128" t="str">
        <f t="shared" si="9"/>
        <v/>
      </c>
      <c r="M251" s="111"/>
      <c r="N251" t="str">
        <f t="shared" si="10"/>
        <v/>
      </c>
      <c r="O251" s="5" t="str">
        <f t="shared" si="11"/>
        <v/>
      </c>
    </row>
    <row r="252" spans="2:15" x14ac:dyDescent="0.3">
      <c r="B252" s="202"/>
      <c r="C252" s="202"/>
      <c r="D252" s="210"/>
      <c r="E252" s="210"/>
      <c r="F252" s="210"/>
      <c r="G252" s="211"/>
      <c r="H252" s="214"/>
      <c r="I252" s="207"/>
      <c r="J252" s="208"/>
      <c r="K252" s="209"/>
      <c r="L252" s="128" t="str">
        <f t="shared" si="9"/>
        <v/>
      </c>
      <c r="M252" s="111"/>
      <c r="N252" t="str">
        <f t="shared" si="10"/>
        <v/>
      </c>
      <c r="O252" s="5" t="str">
        <f t="shared" si="11"/>
        <v/>
      </c>
    </row>
    <row r="253" spans="2:15" x14ac:dyDescent="0.3">
      <c r="B253" s="202"/>
      <c r="C253" s="202"/>
      <c r="D253" s="210"/>
      <c r="E253" s="210"/>
      <c r="F253" s="210"/>
      <c r="G253" s="211"/>
      <c r="H253" s="214"/>
      <c r="I253" s="207"/>
      <c r="J253" s="208"/>
      <c r="K253" s="209"/>
      <c r="L253" s="128" t="str">
        <f t="shared" si="9"/>
        <v/>
      </c>
      <c r="M253" s="111"/>
      <c r="N253" t="str">
        <f t="shared" si="10"/>
        <v/>
      </c>
      <c r="O253" s="5" t="str">
        <f t="shared" si="11"/>
        <v/>
      </c>
    </row>
    <row r="254" spans="2:15" x14ac:dyDescent="0.3">
      <c r="B254" s="202"/>
      <c r="C254" s="202"/>
      <c r="D254" s="210"/>
      <c r="E254" s="210"/>
      <c r="F254" s="210"/>
      <c r="G254" s="211"/>
      <c r="H254" s="214"/>
      <c r="I254" s="207"/>
      <c r="J254" s="208"/>
      <c r="K254" s="209"/>
      <c r="L254" s="128" t="str">
        <f t="shared" si="9"/>
        <v/>
      </c>
      <c r="M254" s="111"/>
      <c r="N254" t="str">
        <f t="shared" si="10"/>
        <v/>
      </c>
      <c r="O254" s="5" t="str">
        <f t="shared" si="11"/>
        <v/>
      </c>
    </row>
    <row r="255" spans="2:15" x14ac:dyDescent="0.3">
      <c r="B255" s="202"/>
      <c r="C255" s="202"/>
      <c r="D255" s="210"/>
      <c r="E255" s="210"/>
      <c r="F255" s="210"/>
      <c r="G255" s="211"/>
      <c r="H255" s="214"/>
      <c r="I255" s="207"/>
      <c r="J255" s="208"/>
      <c r="K255" s="209"/>
      <c r="L255" s="128" t="str">
        <f t="shared" si="9"/>
        <v/>
      </c>
      <c r="M255" s="111"/>
      <c r="N255" t="str">
        <f t="shared" si="10"/>
        <v/>
      </c>
      <c r="O255" s="5" t="str">
        <f t="shared" si="11"/>
        <v/>
      </c>
    </row>
    <row r="256" spans="2:15" x14ac:dyDescent="0.3">
      <c r="B256" s="202"/>
      <c r="C256" s="202"/>
      <c r="D256" s="210"/>
      <c r="E256" s="210"/>
      <c r="F256" s="210"/>
      <c r="G256" s="211"/>
      <c r="H256" s="214"/>
      <c r="I256" s="207"/>
      <c r="J256" s="208"/>
      <c r="K256" s="209"/>
      <c r="M256" s="111"/>
      <c r="N256" t="str">
        <f t="shared" si="10"/>
        <v/>
      </c>
      <c r="O256" s="5" t="str">
        <f t="shared" si="11"/>
        <v/>
      </c>
    </row>
    <row r="257" spans="2:15" x14ac:dyDescent="0.3">
      <c r="B257" s="202"/>
      <c r="C257" s="202"/>
      <c r="D257" s="210"/>
      <c r="E257" s="210"/>
      <c r="F257" s="210"/>
      <c r="G257" s="211"/>
      <c r="H257" s="214"/>
      <c r="I257" s="207"/>
      <c r="J257" s="208"/>
      <c r="K257" s="209"/>
      <c r="M257" s="111"/>
      <c r="N257" t="str">
        <f t="shared" si="10"/>
        <v/>
      </c>
      <c r="O257" s="5" t="str">
        <f t="shared" si="11"/>
        <v/>
      </c>
    </row>
    <row r="258" spans="2:15" x14ac:dyDescent="0.3">
      <c r="B258" s="202"/>
      <c r="C258" s="202"/>
      <c r="D258" s="210"/>
      <c r="E258" s="210"/>
      <c r="F258" s="210"/>
      <c r="G258" s="211"/>
      <c r="H258" s="214"/>
      <c r="I258" s="207"/>
      <c r="J258" s="208"/>
      <c r="K258" s="209"/>
      <c r="M258" s="111"/>
      <c r="N258" t="str">
        <f t="shared" si="10"/>
        <v/>
      </c>
      <c r="O258" s="5" t="str">
        <f t="shared" si="11"/>
        <v/>
      </c>
    </row>
    <row r="259" spans="2:15" x14ac:dyDescent="0.3">
      <c r="B259" s="202"/>
      <c r="C259" s="202"/>
      <c r="D259" s="210"/>
      <c r="E259" s="210"/>
      <c r="F259" s="210"/>
      <c r="G259" s="211"/>
      <c r="H259" s="214"/>
      <c r="I259" s="207"/>
      <c r="J259" s="208"/>
      <c r="K259" s="209"/>
      <c r="M259" s="111"/>
      <c r="N259" t="str">
        <f t="shared" si="10"/>
        <v/>
      </c>
      <c r="O259" s="5" t="str">
        <f t="shared" si="11"/>
        <v/>
      </c>
    </row>
    <row r="260" spans="2:15" x14ac:dyDescent="0.3">
      <c r="B260" s="202"/>
      <c r="C260" s="202"/>
      <c r="D260" s="210"/>
      <c r="E260" s="210"/>
      <c r="F260" s="210"/>
      <c r="G260" s="211"/>
      <c r="H260" s="214"/>
      <c r="I260" s="207"/>
      <c r="J260" s="208"/>
      <c r="K260" s="209"/>
      <c r="M260" s="111"/>
      <c r="N260" t="str">
        <f t="shared" si="10"/>
        <v/>
      </c>
      <c r="O260" s="5" t="str">
        <f t="shared" si="11"/>
        <v/>
      </c>
    </row>
    <row r="261" spans="2:15" x14ac:dyDescent="0.3">
      <c r="B261" s="202"/>
      <c r="C261" s="202"/>
      <c r="D261" s="210"/>
      <c r="E261" s="210"/>
      <c r="F261" s="210"/>
      <c r="G261" s="211"/>
      <c r="H261" s="214"/>
      <c r="I261" s="207"/>
      <c r="J261" s="208"/>
      <c r="K261" s="209"/>
      <c r="M261" s="111"/>
      <c r="N261" t="str">
        <f t="shared" si="10"/>
        <v/>
      </c>
      <c r="O261" s="5" t="str">
        <f t="shared" si="11"/>
        <v/>
      </c>
    </row>
    <row r="262" spans="2:15" x14ac:dyDescent="0.3">
      <c r="B262" s="202"/>
      <c r="C262" s="202"/>
      <c r="D262" s="210"/>
      <c r="E262" s="210"/>
      <c r="F262" s="210"/>
      <c r="G262" s="211"/>
      <c r="H262" s="214"/>
      <c r="I262" s="207"/>
      <c r="J262" s="208"/>
      <c r="K262" s="209"/>
      <c r="M262" s="111"/>
      <c r="N262" t="str">
        <f t="shared" si="10"/>
        <v/>
      </c>
      <c r="O262" s="5" t="str">
        <f t="shared" si="11"/>
        <v/>
      </c>
    </row>
    <row r="263" spans="2:15" x14ac:dyDescent="0.3">
      <c r="B263" s="202"/>
      <c r="C263" s="202"/>
      <c r="D263" s="210"/>
      <c r="E263" s="210"/>
      <c r="F263" s="210"/>
      <c r="G263" s="211"/>
      <c r="H263" s="214"/>
      <c r="I263" s="207"/>
      <c r="J263" s="208"/>
      <c r="K263" s="209"/>
      <c r="M263" s="111"/>
      <c r="N263" t="str">
        <f t="shared" ref="N263:N326" si="12">IFERROR(IF($B263="","",MONTH($B$6:$B$500)),0)</f>
        <v/>
      </c>
      <c r="O263" s="5" t="str">
        <f t="shared" ref="O263:O326" si="13">IFERROR(IF($B263="","",YEAR($B$6:$B$500)),0)</f>
        <v/>
      </c>
    </row>
    <row r="264" spans="2:15" x14ac:dyDescent="0.3">
      <c r="B264" s="202"/>
      <c r="C264" s="202"/>
      <c r="D264" s="210"/>
      <c r="E264" s="210"/>
      <c r="F264" s="210"/>
      <c r="G264" s="211"/>
      <c r="H264" s="214"/>
      <c r="I264" s="207"/>
      <c r="J264" s="208"/>
      <c r="K264" s="209"/>
      <c r="M264" s="111"/>
      <c r="N264" t="str">
        <f t="shared" si="12"/>
        <v/>
      </c>
      <c r="O264" s="5" t="str">
        <f t="shared" si="13"/>
        <v/>
      </c>
    </row>
    <row r="265" spans="2:15" x14ac:dyDescent="0.3">
      <c r="B265" s="202"/>
      <c r="C265" s="202"/>
      <c r="D265" s="210"/>
      <c r="E265" s="210"/>
      <c r="F265" s="210"/>
      <c r="G265" s="211"/>
      <c r="H265" s="214"/>
      <c r="I265" s="207"/>
      <c r="J265" s="208"/>
      <c r="K265" s="209"/>
      <c r="M265" s="111"/>
      <c r="N265" t="str">
        <f t="shared" si="12"/>
        <v/>
      </c>
      <c r="O265" s="5" t="str">
        <f t="shared" si="13"/>
        <v/>
      </c>
    </row>
    <row r="266" spans="2:15" x14ac:dyDescent="0.3">
      <c r="B266" s="202"/>
      <c r="C266" s="202"/>
      <c r="D266" s="210"/>
      <c r="E266" s="210"/>
      <c r="F266" s="210"/>
      <c r="G266" s="211"/>
      <c r="H266" s="214"/>
      <c r="I266" s="207"/>
      <c r="J266" s="208"/>
      <c r="K266" s="209"/>
      <c r="M266" s="111"/>
      <c r="N266" t="str">
        <f t="shared" si="12"/>
        <v/>
      </c>
      <c r="O266" s="5" t="str">
        <f t="shared" si="13"/>
        <v/>
      </c>
    </row>
    <row r="267" spans="2:15" x14ac:dyDescent="0.3">
      <c r="B267" s="202"/>
      <c r="C267" s="202"/>
      <c r="D267" s="210"/>
      <c r="E267" s="210"/>
      <c r="F267" s="210"/>
      <c r="G267" s="211"/>
      <c r="H267" s="214"/>
      <c r="I267" s="207"/>
      <c r="J267" s="208"/>
      <c r="K267" s="209"/>
      <c r="M267" s="111"/>
      <c r="N267" t="str">
        <f t="shared" si="12"/>
        <v/>
      </c>
      <c r="O267" s="5" t="str">
        <f t="shared" si="13"/>
        <v/>
      </c>
    </row>
    <row r="268" spans="2:15" x14ac:dyDescent="0.3">
      <c r="B268" s="202"/>
      <c r="C268" s="202"/>
      <c r="D268" s="210"/>
      <c r="E268" s="210"/>
      <c r="F268" s="210"/>
      <c r="G268" s="211"/>
      <c r="H268" s="214"/>
      <c r="I268" s="207"/>
      <c r="J268" s="208"/>
      <c r="K268" s="209"/>
      <c r="M268" s="111"/>
      <c r="N268" t="str">
        <f t="shared" si="12"/>
        <v/>
      </c>
      <c r="O268" s="5" t="str">
        <f t="shared" si="13"/>
        <v/>
      </c>
    </row>
    <row r="269" spans="2:15" x14ac:dyDescent="0.3">
      <c r="B269" s="202"/>
      <c r="C269" s="202"/>
      <c r="D269" s="210"/>
      <c r="E269" s="210"/>
      <c r="F269" s="210"/>
      <c r="G269" s="211"/>
      <c r="H269" s="214"/>
      <c r="I269" s="207"/>
      <c r="J269" s="208"/>
      <c r="K269" s="209"/>
      <c r="M269" s="111"/>
      <c r="N269" t="str">
        <f t="shared" si="12"/>
        <v/>
      </c>
      <c r="O269" s="5" t="str">
        <f t="shared" si="13"/>
        <v/>
      </c>
    </row>
    <row r="270" spans="2:15" x14ac:dyDescent="0.3">
      <c r="B270" s="202"/>
      <c r="C270" s="202"/>
      <c r="D270" s="210"/>
      <c r="E270" s="210"/>
      <c r="F270" s="210"/>
      <c r="G270" s="211"/>
      <c r="H270" s="214"/>
      <c r="I270" s="207"/>
      <c r="J270" s="208"/>
      <c r="K270" s="209"/>
      <c r="M270" s="111"/>
      <c r="N270" t="str">
        <f t="shared" si="12"/>
        <v/>
      </c>
      <c r="O270" s="5" t="str">
        <f t="shared" si="13"/>
        <v/>
      </c>
    </row>
    <row r="271" spans="2:15" x14ac:dyDescent="0.3">
      <c r="B271" s="202"/>
      <c r="C271" s="202"/>
      <c r="D271" s="210"/>
      <c r="E271" s="210"/>
      <c r="F271" s="210"/>
      <c r="G271" s="211"/>
      <c r="H271" s="214"/>
      <c r="I271" s="207"/>
      <c r="J271" s="208"/>
      <c r="K271" s="209"/>
      <c r="M271" s="111"/>
      <c r="N271" t="str">
        <f t="shared" si="12"/>
        <v/>
      </c>
      <c r="O271" s="5" t="str">
        <f t="shared" si="13"/>
        <v/>
      </c>
    </row>
    <row r="272" spans="2:15" x14ac:dyDescent="0.3">
      <c r="B272" s="202"/>
      <c r="C272" s="202"/>
      <c r="D272" s="210"/>
      <c r="E272" s="210"/>
      <c r="F272" s="210"/>
      <c r="G272" s="211"/>
      <c r="H272" s="214"/>
      <c r="I272" s="207"/>
      <c r="J272" s="208"/>
      <c r="K272" s="209"/>
      <c r="M272" s="111"/>
      <c r="N272" t="str">
        <f t="shared" si="12"/>
        <v/>
      </c>
      <c r="O272" s="5" t="str">
        <f t="shared" si="13"/>
        <v/>
      </c>
    </row>
    <row r="273" spans="2:15" x14ac:dyDescent="0.3">
      <c r="B273" s="202"/>
      <c r="C273" s="202"/>
      <c r="D273" s="210"/>
      <c r="E273" s="210"/>
      <c r="F273" s="210"/>
      <c r="G273" s="211"/>
      <c r="H273" s="214"/>
      <c r="I273" s="207"/>
      <c r="J273" s="208"/>
      <c r="K273" s="209"/>
      <c r="M273" s="111"/>
      <c r="N273" t="str">
        <f t="shared" si="12"/>
        <v/>
      </c>
      <c r="O273" s="5" t="str">
        <f t="shared" si="13"/>
        <v/>
      </c>
    </row>
    <row r="274" spans="2:15" x14ac:dyDescent="0.3">
      <c r="B274" s="202"/>
      <c r="C274" s="202"/>
      <c r="D274" s="210"/>
      <c r="E274" s="210"/>
      <c r="F274" s="210"/>
      <c r="G274" s="211"/>
      <c r="H274" s="214"/>
      <c r="I274" s="207"/>
      <c r="J274" s="208"/>
      <c r="K274" s="209"/>
      <c r="M274" s="111"/>
      <c r="N274" t="str">
        <f t="shared" si="12"/>
        <v/>
      </c>
      <c r="O274" s="5" t="str">
        <f t="shared" si="13"/>
        <v/>
      </c>
    </row>
    <row r="275" spans="2:15" x14ac:dyDescent="0.3">
      <c r="B275" s="202"/>
      <c r="C275" s="202"/>
      <c r="D275" s="210"/>
      <c r="E275" s="210"/>
      <c r="F275" s="210"/>
      <c r="G275" s="211"/>
      <c r="H275" s="214"/>
      <c r="I275" s="207"/>
      <c r="J275" s="208"/>
      <c r="K275" s="209"/>
      <c r="M275" s="111"/>
      <c r="N275" t="str">
        <f t="shared" si="12"/>
        <v/>
      </c>
      <c r="O275" s="5" t="str">
        <f t="shared" si="13"/>
        <v/>
      </c>
    </row>
    <row r="276" spans="2:15" x14ac:dyDescent="0.3">
      <c r="B276" s="202"/>
      <c r="C276" s="202"/>
      <c r="D276" s="210"/>
      <c r="E276" s="210"/>
      <c r="F276" s="210"/>
      <c r="G276" s="211"/>
      <c r="H276" s="214"/>
      <c r="I276" s="207"/>
      <c r="J276" s="208"/>
      <c r="K276" s="209"/>
      <c r="M276" s="111"/>
      <c r="N276" t="str">
        <f t="shared" si="12"/>
        <v/>
      </c>
      <c r="O276" s="5" t="str">
        <f t="shared" si="13"/>
        <v/>
      </c>
    </row>
    <row r="277" spans="2:15" x14ac:dyDescent="0.3">
      <c r="B277" s="202"/>
      <c r="C277" s="202"/>
      <c r="D277" s="210"/>
      <c r="E277" s="210"/>
      <c r="F277" s="210"/>
      <c r="G277" s="211"/>
      <c r="H277" s="214"/>
      <c r="I277" s="207"/>
      <c r="J277" s="208"/>
      <c r="K277" s="209"/>
      <c r="M277" s="111"/>
      <c r="N277" t="str">
        <f t="shared" si="12"/>
        <v/>
      </c>
      <c r="O277" s="5" t="str">
        <f t="shared" si="13"/>
        <v/>
      </c>
    </row>
    <row r="278" spans="2:15" x14ac:dyDescent="0.3">
      <c r="B278" s="202"/>
      <c r="C278" s="202"/>
      <c r="D278" s="210"/>
      <c r="E278" s="210"/>
      <c r="F278" s="210"/>
      <c r="G278" s="211"/>
      <c r="H278" s="214"/>
      <c r="I278" s="207"/>
      <c r="J278" s="208"/>
      <c r="K278" s="209"/>
      <c r="M278" s="111"/>
      <c r="N278" t="str">
        <f t="shared" si="12"/>
        <v/>
      </c>
      <c r="O278" s="5" t="str">
        <f t="shared" si="13"/>
        <v/>
      </c>
    </row>
    <row r="279" spans="2:15" x14ac:dyDescent="0.3">
      <c r="B279" s="202"/>
      <c r="C279" s="202"/>
      <c r="D279" s="210"/>
      <c r="E279" s="210"/>
      <c r="F279" s="210"/>
      <c r="G279" s="211"/>
      <c r="H279" s="214"/>
      <c r="I279" s="207"/>
      <c r="J279" s="208"/>
      <c r="K279" s="209"/>
      <c r="M279" s="111"/>
      <c r="N279" t="str">
        <f t="shared" si="12"/>
        <v/>
      </c>
      <c r="O279" s="5" t="str">
        <f t="shared" si="13"/>
        <v/>
      </c>
    </row>
    <row r="280" spans="2:15" x14ac:dyDescent="0.3">
      <c r="B280" s="202"/>
      <c r="C280" s="202"/>
      <c r="D280" s="210"/>
      <c r="E280" s="210"/>
      <c r="F280" s="210"/>
      <c r="G280" s="211"/>
      <c r="H280" s="214"/>
      <c r="I280" s="207"/>
      <c r="J280" s="208"/>
      <c r="K280" s="209"/>
      <c r="M280" s="111"/>
      <c r="N280" t="str">
        <f t="shared" si="12"/>
        <v/>
      </c>
      <c r="O280" s="5" t="str">
        <f t="shared" si="13"/>
        <v/>
      </c>
    </row>
    <row r="281" spans="2:15" x14ac:dyDescent="0.3">
      <c r="B281" s="202"/>
      <c r="C281" s="202"/>
      <c r="D281" s="210"/>
      <c r="E281" s="210"/>
      <c r="F281" s="210"/>
      <c r="G281" s="211"/>
      <c r="H281" s="214"/>
      <c r="I281" s="207"/>
      <c r="J281" s="208"/>
      <c r="K281" s="209"/>
      <c r="M281" s="111"/>
      <c r="N281" t="str">
        <f t="shared" si="12"/>
        <v/>
      </c>
      <c r="O281" s="5" t="str">
        <f t="shared" si="13"/>
        <v/>
      </c>
    </row>
    <row r="282" spans="2:15" x14ac:dyDescent="0.3">
      <c r="B282" s="202"/>
      <c r="C282" s="202"/>
      <c r="D282" s="210"/>
      <c r="E282" s="210"/>
      <c r="F282" s="210"/>
      <c r="G282" s="211"/>
      <c r="H282" s="214"/>
      <c r="I282" s="207"/>
      <c r="J282" s="208"/>
      <c r="K282" s="209"/>
      <c r="M282" s="111"/>
      <c r="N282" t="str">
        <f t="shared" si="12"/>
        <v/>
      </c>
      <c r="O282" s="5" t="str">
        <f t="shared" si="13"/>
        <v/>
      </c>
    </row>
    <row r="283" spans="2:15" x14ac:dyDescent="0.3">
      <c r="B283" s="202"/>
      <c r="C283" s="202"/>
      <c r="D283" s="210"/>
      <c r="E283" s="210"/>
      <c r="F283" s="210"/>
      <c r="G283" s="211"/>
      <c r="H283" s="214"/>
      <c r="I283" s="207"/>
      <c r="J283" s="208"/>
      <c r="K283" s="209"/>
      <c r="M283" s="111"/>
      <c r="N283" t="str">
        <f t="shared" si="12"/>
        <v/>
      </c>
      <c r="O283" s="5" t="str">
        <f t="shared" si="13"/>
        <v/>
      </c>
    </row>
    <row r="284" spans="2:15" x14ac:dyDescent="0.3">
      <c r="B284" s="202"/>
      <c r="C284" s="202"/>
      <c r="D284" s="210"/>
      <c r="E284" s="210"/>
      <c r="F284" s="210"/>
      <c r="G284" s="211"/>
      <c r="H284" s="214"/>
      <c r="I284" s="207"/>
      <c r="J284" s="208"/>
      <c r="K284" s="209"/>
      <c r="M284" s="111"/>
      <c r="N284" t="str">
        <f t="shared" si="12"/>
        <v/>
      </c>
      <c r="O284" s="5" t="str">
        <f t="shared" si="13"/>
        <v/>
      </c>
    </row>
    <row r="285" spans="2:15" x14ac:dyDescent="0.3">
      <c r="B285" s="202"/>
      <c r="C285" s="202"/>
      <c r="D285" s="210"/>
      <c r="E285" s="210"/>
      <c r="F285" s="210"/>
      <c r="G285" s="211"/>
      <c r="H285" s="214"/>
      <c r="I285" s="207"/>
      <c r="J285" s="208"/>
      <c r="K285" s="209"/>
      <c r="M285" s="111"/>
      <c r="N285" t="str">
        <f t="shared" si="12"/>
        <v/>
      </c>
      <c r="O285" s="5" t="str">
        <f t="shared" si="13"/>
        <v/>
      </c>
    </row>
    <row r="286" spans="2:15" x14ac:dyDescent="0.3">
      <c r="B286" s="202"/>
      <c r="C286" s="202"/>
      <c r="D286" s="210"/>
      <c r="E286" s="210"/>
      <c r="F286" s="210"/>
      <c r="G286" s="211"/>
      <c r="H286" s="214"/>
      <c r="I286" s="207"/>
      <c r="J286" s="208"/>
      <c r="K286" s="209"/>
      <c r="M286" s="111"/>
      <c r="N286" t="str">
        <f t="shared" si="12"/>
        <v/>
      </c>
      <c r="O286" s="5" t="str">
        <f t="shared" si="13"/>
        <v/>
      </c>
    </row>
    <row r="287" spans="2:15" x14ac:dyDescent="0.3">
      <c r="B287" s="202"/>
      <c r="C287" s="202"/>
      <c r="D287" s="210"/>
      <c r="E287" s="210"/>
      <c r="F287" s="210"/>
      <c r="G287" s="211"/>
      <c r="H287" s="214"/>
      <c r="I287" s="207"/>
      <c r="J287" s="208"/>
      <c r="K287" s="209"/>
      <c r="M287" s="111"/>
      <c r="N287" t="str">
        <f t="shared" si="12"/>
        <v/>
      </c>
      <c r="O287" s="5" t="str">
        <f t="shared" si="13"/>
        <v/>
      </c>
    </row>
    <row r="288" spans="2:15" x14ac:dyDescent="0.3">
      <c r="B288" s="202"/>
      <c r="C288" s="202"/>
      <c r="D288" s="210"/>
      <c r="E288" s="210"/>
      <c r="F288" s="210"/>
      <c r="G288" s="211"/>
      <c r="H288" s="214"/>
      <c r="I288" s="207"/>
      <c r="J288" s="208"/>
      <c r="K288" s="209"/>
      <c r="M288" s="111"/>
      <c r="N288" t="str">
        <f t="shared" si="12"/>
        <v/>
      </c>
      <c r="O288" s="5" t="str">
        <f t="shared" si="13"/>
        <v/>
      </c>
    </row>
    <row r="289" spans="2:15" x14ac:dyDescent="0.3">
      <c r="B289" s="202"/>
      <c r="C289" s="202"/>
      <c r="D289" s="210"/>
      <c r="E289" s="210"/>
      <c r="F289" s="210"/>
      <c r="G289" s="211"/>
      <c r="H289" s="214"/>
      <c r="I289" s="207"/>
      <c r="J289" s="208"/>
      <c r="K289" s="209"/>
      <c r="M289" s="111"/>
      <c r="N289" t="str">
        <f t="shared" si="12"/>
        <v/>
      </c>
      <c r="O289" s="5" t="str">
        <f t="shared" si="13"/>
        <v/>
      </c>
    </row>
    <row r="290" spans="2:15" x14ac:dyDescent="0.3">
      <c r="B290" s="202"/>
      <c r="C290" s="202"/>
      <c r="D290" s="210"/>
      <c r="E290" s="210"/>
      <c r="F290" s="210"/>
      <c r="G290" s="211"/>
      <c r="H290" s="214"/>
      <c r="I290" s="207"/>
      <c r="J290" s="208"/>
      <c r="K290" s="209"/>
      <c r="M290" s="111"/>
      <c r="N290" t="str">
        <f t="shared" si="12"/>
        <v/>
      </c>
      <c r="O290" s="5" t="str">
        <f t="shared" si="13"/>
        <v/>
      </c>
    </row>
    <row r="291" spans="2:15" x14ac:dyDescent="0.3">
      <c r="B291" s="202"/>
      <c r="C291" s="202"/>
      <c r="D291" s="210"/>
      <c r="E291" s="210"/>
      <c r="F291" s="210"/>
      <c r="G291" s="211"/>
      <c r="H291" s="214"/>
      <c r="I291" s="207"/>
      <c r="J291" s="208"/>
      <c r="K291" s="209"/>
      <c r="M291" s="111"/>
      <c r="N291" t="str">
        <f t="shared" si="12"/>
        <v/>
      </c>
      <c r="O291" s="5" t="str">
        <f t="shared" si="13"/>
        <v/>
      </c>
    </row>
    <row r="292" spans="2:15" x14ac:dyDescent="0.3">
      <c r="B292" s="202"/>
      <c r="C292" s="202"/>
      <c r="D292" s="210"/>
      <c r="E292" s="210"/>
      <c r="F292" s="210"/>
      <c r="G292" s="211"/>
      <c r="H292" s="214"/>
      <c r="I292" s="207"/>
      <c r="J292" s="208"/>
      <c r="K292" s="209"/>
      <c r="M292" s="111"/>
      <c r="N292" t="str">
        <f t="shared" si="12"/>
        <v/>
      </c>
      <c r="O292" s="5" t="str">
        <f t="shared" si="13"/>
        <v/>
      </c>
    </row>
    <row r="293" spans="2:15" x14ac:dyDescent="0.3">
      <c r="B293" s="202"/>
      <c r="C293" s="202"/>
      <c r="D293" s="210"/>
      <c r="E293" s="210"/>
      <c r="F293" s="210"/>
      <c r="G293" s="211"/>
      <c r="H293" s="214"/>
      <c r="I293" s="207"/>
      <c r="J293" s="208"/>
      <c r="K293" s="209"/>
      <c r="M293" s="111"/>
      <c r="N293" t="str">
        <f t="shared" si="12"/>
        <v/>
      </c>
      <c r="O293" s="5" t="str">
        <f t="shared" si="13"/>
        <v/>
      </c>
    </row>
    <row r="294" spans="2:15" x14ac:dyDescent="0.3">
      <c r="B294" s="202"/>
      <c r="C294" s="202"/>
      <c r="D294" s="210"/>
      <c r="E294" s="210"/>
      <c r="F294" s="210"/>
      <c r="G294" s="211"/>
      <c r="H294" s="214"/>
      <c r="I294" s="207"/>
      <c r="J294" s="208"/>
      <c r="K294" s="209"/>
      <c r="M294" s="111"/>
      <c r="N294" t="str">
        <f t="shared" si="12"/>
        <v/>
      </c>
      <c r="O294" s="5" t="str">
        <f t="shared" si="13"/>
        <v/>
      </c>
    </row>
    <row r="295" spans="2:15" x14ac:dyDescent="0.3">
      <c r="B295" s="202"/>
      <c r="C295" s="202"/>
      <c r="D295" s="210"/>
      <c r="E295" s="210"/>
      <c r="F295" s="210"/>
      <c r="G295" s="211"/>
      <c r="H295" s="214"/>
      <c r="I295" s="207"/>
      <c r="J295" s="208"/>
      <c r="K295" s="209"/>
      <c r="M295" s="111"/>
      <c r="N295" t="str">
        <f t="shared" si="12"/>
        <v/>
      </c>
      <c r="O295" s="5" t="str">
        <f t="shared" si="13"/>
        <v/>
      </c>
    </row>
    <row r="296" spans="2:15" x14ac:dyDescent="0.3">
      <c r="B296" s="202"/>
      <c r="C296" s="202"/>
      <c r="D296" s="210"/>
      <c r="E296" s="210"/>
      <c r="F296" s="210"/>
      <c r="G296" s="211"/>
      <c r="H296" s="214"/>
      <c r="I296" s="207"/>
      <c r="J296" s="208"/>
      <c r="K296" s="209"/>
      <c r="M296" s="111"/>
      <c r="N296" t="str">
        <f t="shared" si="12"/>
        <v/>
      </c>
      <c r="O296" s="5" t="str">
        <f t="shared" si="13"/>
        <v/>
      </c>
    </row>
    <row r="297" spans="2:15" x14ac:dyDescent="0.3">
      <c r="B297" s="202"/>
      <c r="C297" s="202"/>
      <c r="D297" s="210"/>
      <c r="E297" s="210"/>
      <c r="F297" s="210"/>
      <c r="G297" s="211"/>
      <c r="H297" s="214"/>
      <c r="I297" s="207"/>
      <c r="J297" s="208"/>
      <c r="K297" s="209"/>
      <c r="M297" s="111"/>
      <c r="N297" t="str">
        <f t="shared" si="12"/>
        <v/>
      </c>
      <c r="O297" s="5" t="str">
        <f t="shared" si="13"/>
        <v/>
      </c>
    </row>
    <row r="298" spans="2:15" x14ac:dyDescent="0.3">
      <c r="B298" s="202"/>
      <c r="C298" s="202"/>
      <c r="D298" s="210"/>
      <c r="E298" s="210"/>
      <c r="F298" s="210"/>
      <c r="G298" s="211"/>
      <c r="H298" s="214"/>
      <c r="I298" s="207"/>
      <c r="J298" s="208"/>
      <c r="K298" s="209"/>
      <c r="M298" s="111"/>
      <c r="N298" t="str">
        <f t="shared" si="12"/>
        <v/>
      </c>
      <c r="O298" s="5" t="str">
        <f t="shared" si="13"/>
        <v/>
      </c>
    </row>
    <row r="299" spans="2:15" x14ac:dyDescent="0.3">
      <c r="B299" s="202"/>
      <c r="C299" s="202"/>
      <c r="D299" s="210"/>
      <c r="E299" s="210"/>
      <c r="F299" s="210"/>
      <c r="G299" s="211"/>
      <c r="H299" s="214"/>
      <c r="I299" s="207"/>
      <c r="J299" s="208"/>
      <c r="K299" s="209"/>
      <c r="M299" s="111"/>
      <c r="N299" t="str">
        <f t="shared" si="12"/>
        <v/>
      </c>
      <c r="O299" s="5" t="str">
        <f t="shared" si="13"/>
        <v/>
      </c>
    </row>
    <row r="300" spans="2:15" x14ac:dyDescent="0.3">
      <c r="B300" s="202"/>
      <c r="C300" s="202"/>
      <c r="D300" s="210"/>
      <c r="E300" s="210"/>
      <c r="F300" s="210"/>
      <c r="G300" s="211"/>
      <c r="H300" s="214"/>
      <c r="I300" s="207"/>
      <c r="J300" s="208"/>
      <c r="K300" s="209"/>
      <c r="M300" s="111"/>
      <c r="N300" t="str">
        <f t="shared" si="12"/>
        <v/>
      </c>
      <c r="O300" s="5" t="str">
        <f t="shared" si="13"/>
        <v/>
      </c>
    </row>
    <row r="301" spans="2:15" x14ac:dyDescent="0.3">
      <c r="B301" s="202"/>
      <c r="C301" s="202"/>
      <c r="D301" s="210"/>
      <c r="E301" s="210"/>
      <c r="F301" s="210"/>
      <c r="G301" s="211"/>
      <c r="H301" s="214"/>
      <c r="I301" s="207"/>
      <c r="J301" s="208"/>
      <c r="K301" s="209"/>
      <c r="M301" s="111"/>
      <c r="N301" t="str">
        <f t="shared" si="12"/>
        <v/>
      </c>
      <c r="O301" s="5" t="str">
        <f t="shared" si="13"/>
        <v/>
      </c>
    </row>
    <row r="302" spans="2:15" x14ac:dyDescent="0.3">
      <c r="B302" s="202"/>
      <c r="C302" s="202"/>
      <c r="D302" s="210"/>
      <c r="E302" s="210"/>
      <c r="F302" s="210"/>
      <c r="G302" s="211"/>
      <c r="H302" s="214"/>
      <c r="I302" s="207"/>
      <c r="J302" s="208"/>
      <c r="K302" s="209"/>
      <c r="M302" s="111"/>
      <c r="N302" t="str">
        <f t="shared" si="12"/>
        <v/>
      </c>
      <c r="O302" s="5" t="str">
        <f t="shared" si="13"/>
        <v/>
      </c>
    </row>
    <row r="303" spans="2:15" x14ac:dyDescent="0.3">
      <c r="B303" s="202"/>
      <c r="C303" s="202"/>
      <c r="D303" s="210"/>
      <c r="E303" s="210"/>
      <c r="F303" s="210"/>
      <c r="G303" s="211"/>
      <c r="H303" s="214"/>
      <c r="I303" s="207"/>
      <c r="J303" s="208"/>
      <c r="K303" s="209"/>
      <c r="M303" s="111"/>
      <c r="N303" t="str">
        <f t="shared" si="12"/>
        <v/>
      </c>
      <c r="O303" s="5" t="str">
        <f t="shared" si="13"/>
        <v/>
      </c>
    </row>
    <row r="304" spans="2:15" x14ac:dyDescent="0.3">
      <c r="B304" s="202"/>
      <c r="C304" s="202"/>
      <c r="D304" s="210"/>
      <c r="E304" s="210"/>
      <c r="F304" s="210"/>
      <c r="G304" s="211"/>
      <c r="H304" s="214"/>
      <c r="I304" s="207"/>
      <c r="J304" s="208"/>
      <c r="K304" s="209"/>
      <c r="M304" s="111"/>
      <c r="N304" t="str">
        <f t="shared" si="12"/>
        <v/>
      </c>
      <c r="O304" s="5" t="str">
        <f t="shared" si="13"/>
        <v/>
      </c>
    </row>
    <row r="305" spans="2:15" x14ac:dyDescent="0.3">
      <c r="B305" s="202"/>
      <c r="C305" s="202"/>
      <c r="D305" s="210"/>
      <c r="E305" s="210"/>
      <c r="F305" s="210"/>
      <c r="G305" s="211"/>
      <c r="H305" s="214"/>
      <c r="I305" s="207"/>
      <c r="J305" s="208"/>
      <c r="K305" s="209"/>
      <c r="M305" s="111"/>
      <c r="N305" t="str">
        <f t="shared" si="12"/>
        <v/>
      </c>
      <c r="O305" s="5" t="str">
        <f t="shared" si="13"/>
        <v/>
      </c>
    </row>
    <row r="306" spans="2:15" x14ac:dyDescent="0.3">
      <c r="B306" s="202"/>
      <c r="C306" s="202"/>
      <c r="D306" s="210"/>
      <c r="E306" s="210"/>
      <c r="F306" s="210"/>
      <c r="G306" s="211"/>
      <c r="H306" s="214"/>
      <c r="I306" s="207"/>
      <c r="J306" s="208"/>
      <c r="K306" s="209"/>
      <c r="M306" s="111"/>
      <c r="N306" t="str">
        <f t="shared" si="12"/>
        <v/>
      </c>
      <c r="O306" s="5" t="str">
        <f t="shared" si="13"/>
        <v/>
      </c>
    </row>
    <row r="307" spans="2:15" x14ac:dyDescent="0.3">
      <c r="B307" s="202"/>
      <c r="C307" s="202"/>
      <c r="D307" s="210"/>
      <c r="E307" s="210"/>
      <c r="F307" s="210"/>
      <c r="G307" s="211"/>
      <c r="H307" s="214"/>
      <c r="I307" s="207"/>
      <c r="J307" s="208"/>
      <c r="K307" s="209"/>
      <c r="M307" s="111"/>
      <c r="N307" t="str">
        <f t="shared" si="12"/>
        <v/>
      </c>
      <c r="O307" s="5" t="str">
        <f t="shared" si="13"/>
        <v/>
      </c>
    </row>
    <row r="308" spans="2:15" x14ac:dyDescent="0.3">
      <c r="B308" s="202"/>
      <c r="C308" s="202"/>
      <c r="D308" s="210"/>
      <c r="E308" s="210"/>
      <c r="F308" s="210"/>
      <c r="G308" s="211"/>
      <c r="H308" s="214"/>
      <c r="I308" s="207"/>
      <c r="J308" s="208"/>
      <c r="K308" s="209"/>
      <c r="M308" s="111"/>
      <c r="N308" t="str">
        <f t="shared" si="12"/>
        <v/>
      </c>
      <c r="O308" s="5" t="str">
        <f t="shared" si="13"/>
        <v/>
      </c>
    </row>
    <row r="309" spans="2:15" x14ac:dyDescent="0.3">
      <c r="B309" s="202"/>
      <c r="C309" s="202"/>
      <c r="D309" s="210"/>
      <c r="E309" s="210"/>
      <c r="F309" s="210"/>
      <c r="G309" s="211"/>
      <c r="H309" s="214"/>
      <c r="I309" s="207"/>
      <c r="J309" s="208"/>
      <c r="K309" s="209"/>
      <c r="M309" s="111"/>
      <c r="N309" t="str">
        <f t="shared" si="12"/>
        <v/>
      </c>
      <c r="O309" s="5" t="str">
        <f t="shared" si="13"/>
        <v/>
      </c>
    </row>
    <row r="310" spans="2:15" x14ac:dyDescent="0.3">
      <c r="B310" s="202"/>
      <c r="C310" s="202"/>
      <c r="D310" s="210"/>
      <c r="E310" s="210"/>
      <c r="F310" s="210"/>
      <c r="G310" s="211"/>
      <c r="H310" s="214"/>
      <c r="I310" s="207"/>
      <c r="J310" s="208"/>
      <c r="K310" s="209"/>
      <c r="M310" s="111"/>
      <c r="N310" t="str">
        <f t="shared" si="12"/>
        <v/>
      </c>
      <c r="O310" s="5" t="str">
        <f t="shared" si="13"/>
        <v/>
      </c>
    </row>
    <row r="311" spans="2:15" x14ac:dyDescent="0.3">
      <c r="B311" s="202"/>
      <c r="C311" s="202"/>
      <c r="D311" s="210"/>
      <c r="E311" s="210"/>
      <c r="F311" s="210"/>
      <c r="G311" s="211"/>
      <c r="H311" s="214"/>
      <c r="I311" s="207"/>
      <c r="J311" s="208"/>
      <c r="K311" s="209"/>
      <c r="M311" s="111"/>
      <c r="N311" t="str">
        <f t="shared" si="12"/>
        <v/>
      </c>
      <c r="O311" s="5" t="str">
        <f t="shared" si="13"/>
        <v/>
      </c>
    </row>
    <row r="312" spans="2:15" x14ac:dyDescent="0.3">
      <c r="B312" s="202"/>
      <c r="C312" s="202"/>
      <c r="D312" s="210"/>
      <c r="E312" s="210"/>
      <c r="F312" s="210"/>
      <c r="G312" s="211"/>
      <c r="H312" s="214"/>
      <c r="I312" s="207"/>
      <c r="J312" s="208"/>
      <c r="K312" s="209"/>
      <c r="M312" s="111"/>
      <c r="N312" t="str">
        <f t="shared" si="12"/>
        <v/>
      </c>
      <c r="O312" s="5" t="str">
        <f t="shared" si="13"/>
        <v/>
      </c>
    </row>
    <row r="313" spans="2:15" x14ac:dyDescent="0.3">
      <c r="B313" s="202"/>
      <c r="C313" s="202"/>
      <c r="D313" s="210"/>
      <c r="E313" s="210"/>
      <c r="F313" s="210"/>
      <c r="G313" s="211"/>
      <c r="H313" s="214"/>
      <c r="I313" s="207"/>
      <c r="J313" s="208"/>
      <c r="K313" s="209"/>
      <c r="M313" s="111"/>
      <c r="N313" t="str">
        <f t="shared" si="12"/>
        <v/>
      </c>
      <c r="O313" s="5" t="str">
        <f t="shared" si="13"/>
        <v/>
      </c>
    </row>
    <row r="314" spans="2:15" x14ac:dyDescent="0.3">
      <c r="B314" s="202"/>
      <c r="C314" s="202"/>
      <c r="D314" s="210"/>
      <c r="E314" s="210"/>
      <c r="F314" s="210"/>
      <c r="G314" s="211"/>
      <c r="H314" s="214"/>
      <c r="I314" s="207"/>
      <c r="J314" s="208"/>
      <c r="K314" s="209"/>
      <c r="M314" s="111"/>
      <c r="N314" t="str">
        <f t="shared" si="12"/>
        <v/>
      </c>
      <c r="O314" s="5" t="str">
        <f t="shared" si="13"/>
        <v/>
      </c>
    </row>
    <row r="315" spans="2:15" x14ac:dyDescent="0.3">
      <c r="B315" s="202"/>
      <c r="C315" s="202"/>
      <c r="D315" s="210"/>
      <c r="E315" s="210"/>
      <c r="F315" s="210"/>
      <c r="G315" s="211"/>
      <c r="H315" s="214"/>
      <c r="I315" s="207"/>
      <c r="J315" s="208"/>
      <c r="K315" s="209"/>
      <c r="M315" s="111"/>
      <c r="N315" t="str">
        <f t="shared" si="12"/>
        <v/>
      </c>
      <c r="O315" s="5" t="str">
        <f t="shared" si="13"/>
        <v/>
      </c>
    </row>
    <row r="316" spans="2:15" x14ac:dyDescent="0.3">
      <c r="B316" s="202"/>
      <c r="C316" s="202"/>
      <c r="D316" s="210"/>
      <c r="E316" s="210"/>
      <c r="F316" s="210"/>
      <c r="G316" s="211"/>
      <c r="H316" s="214"/>
      <c r="I316" s="207"/>
      <c r="J316" s="208"/>
      <c r="K316" s="209"/>
      <c r="M316" s="111"/>
      <c r="N316" t="str">
        <f t="shared" si="12"/>
        <v/>
      </c>
      <c r="O316" s="5" t="str">
        <f t="shared" si="13"/>
        <v/>
      </c>
    </row>
    <row r="317" spans="2:15" x14ac:dyDescent="0.3">
      <c r="B317" s="202"/>
      <c r="C317" s="202"/>
      <c r="D317" s="210"/>
      <c r="E317" s="210"/>
      <c r="F317" s="210"/>
      <c r="G317" s="211"/>
      <c r="H317" s="214"/>
      <c r="I317" s="207"/>
      <c r="J317" s="208"/>
      <c r="K317" s="209"/>
      <c r="M317" s="111"/>
      <c r="N317" t="str">
        <f t="shared" si="12"/>
        <v/>
      </c>
      <c r="O317" s="5" t="str">
        <f t="shared" si="13"/>
        <v/>
      </c>
    </row>
    <row r="318" spans="2:15" x14ac:dyDescent="0.3">
      <c r="B318" s="202"/>
      <c r="C318" s="202"/>
      <c r="D318" s="210"/>
      <c r="E318" s="210"/>
      <c r="F318" s="210"/>
      <c r="G318" s="211"/>
      <c r="H318" s="214"/>
      <c r="I318" s="207"/>
      <c r="J318" s="208"/>
      <c r="K318" s="209"/>
      <c r="M318" s="111"/>
      <c r="N318" t="str">
        <f t="shared" si="12"/>
        <v/>
      </c>
      <c r="O318" s="5" t="str">
        <f t="shared" si="13"/>
        <v/>
      </c>
    </row>
    <row r="319" spans="2:15" x14ac:dyDescent="0.3">
      <c r="B319" s="202"/>
      <c r="C319" s="202"/>
      <c r="D319" s="210"/>
      <c r="E319" s="210"/>
      <c r="F319" s="210"/>
      <c r="G319" s="211"/>
      <c r="H319" s="214"/>
      <c r="I319" s="207"/>
      <c r="J319" s="208"/>
      <c r="K319" s="209"/>
      <c r="M319" s="111"/>
      <c r="N319" t="str">
        <f t="shared" si="12"/>
        <v/>
      </c>
      <c r="O319" s="5" t="str">
        <f t="shared" si="13"/>
        <v/>
      </c>
    </row>
    <row r="320" spans="2:15" x14ac:dyDescent="0.3">
      <c r="B320" s="202"/>
      <c r="C320" s="202"/>
      <c r="D320" s="210"/>
      <c r="E320" s="210"/>
      <c r="F320" s="210"/>
      <c r="G320" s="211"/>
      <c r="H320" s="214"/>
      <c r="I320" s="207"/>
      <c r="J320" s="208"/>
      <c r="K320" s="209"/>
      <c r="M320" s="111"/>
      <c r="N320" t="str">
        <f t="shared" si="12"/>
        <v/>
      </c>
      <c r="O320" s="5" t="str">
        <f t="shared" si="13"/>
        <v/>
      </c>
    </row>
    <row r="321" spans="2:15" x14ac:dyDescent="0.3">
      <c r="B321" s="202"/>
      <c r="C321" s="202"/>
      <c r="D321" s="210"/>
      <c r="E321" s="210"/>
      <c r="F321" s="210"/>
      <c r="G321" s="211"/>
      <c r="H321" s="214"/>
      <c r="I321" s="207"/>
      <c r="J321" s="208"/>
      <c r="K321" s="209"/>
      <c r="M321" s="111"/>
      <c r="N321" t="str">
        <f t="shared" si="12"/>
        <v/>
      </c>
      <c r="O321" s="5" t="str">
        <f t="shared" si="13"/>
        <v/>
      </c>
    </row>
    <row r="322" spans="2:15" x14ac:dyDescent="0.3">
      <c r="B322" s="202"/>
      <c r="C322" s="202"/>
      <c r="D322" s="210"/>
      <c r="E322" s="210"/>
      <c r="F322" s="210"/>
      <c r="G322" s="211"/>
      <c r="H322" s="214"/>
      <c r="I322" s="207"/>
      <c r="J322" s="208"/>
      <c r="K322" s="209"/>
      <c r="M322" s="111"/>
      <c r="N322" t="str">
        <f t="shared" si="12"/>
        <v/>
      </c>
      <c r="O322" s="5" t="str">
        <f t="shared" si="13"/>
        <v/>
      </c>
    </row>
    <row r="323" spans="2:15" x14ac:dyDescent="0.3">
      <c r="B323" s="202"/>
      <c r="C323" s="202"/>
      <c r="D323" s="210"/>
      <c r="E323" s="210"/>
      <c r="F323" s="210"/>
      <c r="G323" s="211"/>
      <c r="H323" s="214"/>
      <c r="I323" s="207"/>
      <c r="J323" s="208"/>
      <c r="K323" s="209"/>
      <c r="M323" s="111"/>
      <c r="N323" t="str">
        <f t="shared" si="12"/>
        <v/>
      </c>
      <c r="O323" s="5" t="str">
        <f t="shared" si="13"/>
        <v/>
      </c>
    </row>
    <row r="324" spans="2:15" x14ac:dyDescent="0.3">
      <c r="B324" s="202"/>
      <c r="C324" s="202"/>
      <c r="D324" s="210"/>
      <c r="E324" s="210"/>
      <c r="F324" s="210"/>
      <c r="G324" s="211"/>
      <c r="H324" s="214"/>
      <c r="I324" s="207"/>
      <c r="J324" s="208"/>
      <c r="K324" s="209"/>
      <c r="M324" s="111"/>
      <c r="N324" t="str">
        <f t="shared" si="12"/>
        <v/>
      </c>
      <c r="O324" s="5" t="str">
        <f t="shared" si="13"/>
        <v/>
      </c>
    </row>
    <row r="325" spans="2:15" x14ac:dyDescent="0.3">
      <c r="B325" s="202"/>
      <c r="C325" s="202"/>
      <c r="D325" s="210"/>
      <c r="E325" s="210"/>
      <c r="F325" s="210"/>
      <c r="G325" s="211"/>
      <c r="H325" s="214"/>
      <c r="I325" s="207"/>
      <c r="J325" s="208"/>
      <c r="K325" s="209"/>
      <c r="M325" s="111"/>
      <c r="N325" t="str">
        <f t="shared" si="12"/>
        <v/>
      </c>
      <c r="O325" s="5" t="str">
        <f t="shared" si="13"/>
        <v/>
      </c>
    </row>
    <row r="326" spans="2:15" x14ac:dyDescent="0.3">
      <c r="B326" s="202"/>
      <c r="C326" s="202"/>
      <c r="D326" s="210"/>
      <c r="E326" s="210"/>
      <c r="F326" s="210"/>
      <c r="G326" s="211"/>
      <c r="H326" s="214"/>
      <c r="I326" s="207"/>
      <c r="J326" s="208"/>
      <c r="K326" s="209"/>
      <c r="M326" s="111"/>
      <c r="N326" t="str">
        <f t="shared" si="12"/>
        <v/>
      </c>
      <c r="O326" s="5" t="str">
        <f t="shared" si="13"/>
        <v/>
      </c>
    </row>
    <row r="327" spans="2:15" x14ac:dyDescent="0.3">
      <c r="B327" s="202"/>
      <c r="C327" s="202"/>
      <c r="D327" s="210"/>
      <c r="E327" s="210"/>
      <c r="F327" s="210"/>
      <c r="G327" s="211"/>
      <c r="H327" s="214"/>
      <c r="I327" s="207"/>
      <c r="J327" s="208"/>
      <c r="K327" s="209"/>
      <c r="M327" s="111"/>
      <c r="N327" t="str">
        <f t="shared" ref="N327:N390" si="14">IFERROR(IF($B327="","",MONTH($B$6:$B$500)),0)</f>
        <v/>
      </c>
      <c r="O327" s="5" t="str">
        <f t="shared" ref="O327:O390" si="15">IFERROR(IF($B327="","",YEAR($B$6:$B$500)),0)</f>
        <v/>
      </c>
    </row>
    <row r="328" spans="2:15" x14ac:dyDescent="0.3">
      <c r="B328" s="202"/>
      <c r="C328" s="202"/>
      <c r="D328" s="210"/>
      <c r="E328" s="210"/>
      <c r="F328" s="210"/>
      <c r="G328" s="211"/>
      <c r="H328" s="214"/>
      <c r="I328" s="207"/>
      <c r="J328" s="208"/>
      <c r="K328" s="209"/>
      <c r="M328" s="111"/>
      <c r="N328" t="str">
        <f t="shared" si="14"/>
        <v/>
      </c>
      <c r="O328" s="5" t="str">
        <f t="shared" si="15"/>
        <v/>
      </c>
    </row>
    <row r="329" spans="2:15" x14ac:dyDescent="0.3">
      <c r="B329" s="202"/>
      <c r="C329" s="202"/>
      <c r="D329" s="210"/>
      <c r="E329" s="210"/>
      <c r="F329" s="210"/>
      <c r="G329" s="211"/>
      <c r="H329" s="214"/>
      <c r="I329" s="207"/>
      <c r="J329" s="208"/>
      <c r="K329" s="209"/>
      <c r="M329" s="111"/>
      <c r="N329" t="str">
        <f t="shared" si="14"/>
        <v/>
      </c>
      <c r="O329" s="5" t="str">
        <f t="shared" si="15"/>
        <v/>
      </c>
    </row>
    <row r="330" spans="2:15" x14ac:dyDescent="0.3">
      <c r="B330" s="202"/>
      <c r="C330" s="202"/>
      <c r="D330" s="210"/>
      <c r="E330" s="210"/>
      <c r="F330" s="210"/>
      <c r="G330" s="211"/>
      <c r="H330" s="214"/>
      <c r="I330" s="207"/>
      <c r="J330" s="208"/>
      <c r="K330" s="209"/>
      <c r="M330" s="111"/>
      <c r="N330" t="str">
        <f t="shared" si="14"/>
        <v/>
      </c>
      <c r="O330" s="5" t="str">
        <f t="shared" si="15"/>
        <v/>
      </c>
    </row>
    <row r="331" spans="2:15" x14ac:dyDescent="0.3">
      <c r="B331" s="202"/>
      <c r="C331" s="202"/>
      <c r="D331" s="210"/>
      <c r="E331" s="210"/>
      <c r="F331" s="210"/>
      <c r="G331" s="211"/>
      <c r="H331" s="214"/>
      <c r="I331" s="207"/>
      <c r="J331" s="208"/>
      <c r="K331" s="209"/>
      <c r="M331" s="111"/>
      <c r="N331" t="str">
        <f t="shared" si="14"/>
        <v/>
      </c>
      <c r="O331" s="5" t="str">
        <f t="shared" si="15"/>
        <v/>
      </c>
    </row>
    <row r="332" spans="2:15" x14ac:dyDescent="0.3">
      <c r="B332" s="202"/>
      <c r="C332" s="202"/>
      <c r="D332" s="210"/>
      <c r="E332" s="210"/>
      <c r="F332" s="210"/>
      <c r="G332" s="211"/>
      <c r="H332" s="214"/>
      <c r="I332" s="207"/>
      <c r="J332" s="208"/>
      <c r="K332" s="209"/>
      <c r="M332" s="111"/>
      <c r="N332" t="str">
        <f t="shared" si="14"/>
        <v/>
      </c>
      <c r="O332" s="5" t="str">
        <f t="shared" si="15"/>
        <v/>
      </c>
    </row>
    <row r="333" spans="2:15" x14ac:dyDescent="0.3">
      <c r="B333" s="202"/>
      <c r="C333" s="202"/>
      <c r="D333" s="210"/>
      <c r="E333" s="210"/>
      <c r="F333" s="210"/>
      <c r="G333" s="211"/>
      <c r="H333" s="214"/>
      <c r="I333" s="207"/>
      <c r="J333" s="208"/>
      <c r="K333" s="209"/>
      <c r="M333" s="111"/>
      <c r="N333" t="str">
        <f t="shared" si="14"/>
        <v/>
      </c>
      <c r="O333" s="5" t="str">
        <f t="shared" si="15"/>
        <v/>
      </c>
    </row>
    <row r="334" spans="2:15" x14ac:dyDescent="0.3">
      <c r="B334" s="202"/>
      <c r="C334" s="202"/>
      <c r="D334" s="210"/>
      <c r="E334" s="210"/>
      <c r="F334" s="210"/>
      <c r="G334" s="211"/>
      <c r="H334" s="214"/>
      <c r="I334" s="207"/>
      <c r="J334" s="208"/>
      <c r="K334" s="209"/>
      <c r="M334" s="111"/>
      <c r="N334" t="str">
        <f t="shared" si="14"/>
        <v/>
      </c>
      <c r="O334" s="5" t="str">
        <f t="shared" si="15"/>
        <v/>
      </c>
    </row>
    <row r="335" spans="2:15" x14ac:dyDescent="0.3">
      <c r="B335" s="202"/>
      <c r="C335" s="202"/>
      <c r="D335" s="210"/>
      <c r="E335" s="210"/>
      <c r="F335" s="210"/>
      <c r="G335" s="211"/>
      <c r="H335" s="214"/>
      <c r="I335" s="207"/>
      <c r="J335" s="208"/>
      <c r="K335" s="209"/>
      <c r="M335" s="111"/>
      <c r="N335" t="str">
        <f t="shared" si="14"/>
        <v/>
      </c>
      <c r="O335" s="5" t="str">
        <f t="shared" si="15"/>
        <v/>
      </c>
    </row>
    <row r="336" spans="2:15" x14ac:dyDescent="0.3">
      <c r="B336" s="202"/>
      <c r="C336" s="202"/>
      <c r="D336" s="210"/>
      <c r="E336" s="210"/>
      <c r="F336" s="210"/>
      <c r="G336" s="211"/>
      <c r="H336" s="214"/>
      <c r="I336" s="207"/>
      <c r="J336" s="208"/>
      <c r="K336" s="209"/>
      <c r="M336" s="111"/>
      <c r="N336" t="str">
        <f t="shared" si="14"/>
        <v/>
      </c>
      <c r="O336" s="5" t="str">
        <f t="shared" si="15"/>
        <v/>
      </c>
    </row>
    <row r="337" spans="2:15" x14ac:dyDescent="0.3">
      <c r="B337" s="202"/>
      <c r="C337" s="202"/>
      <c r="D337" s="210"/>
      <c r="E337" s="210"/>
      <c r="F337" s="210"/>
      <c r="G337" s="211"/>
      <c r="H337" s="214"/>
      <c r="I337" s="207"/>
      <c r="J337" s="208"/>
      <c r="K337" s="209"/>
      <c r="M337" s="111"/>
      <c r="N337" t="str">
        <f t="shared" si="14"/>
        <v/>
      </c>
      <c r="O337" s="5" t="str">
        <f t="shared" si="15"/>
        <v/>
      </c>
    </row>
    <row r="338" spans="2:15" x14ac:dyDescent="0.3">
      <c r="B338" s="202"/>
      <c r="C338" s="202"/>
      <c r="D338" s="210"/>
      <c r="E338" s="210"/>
      <c r="F338" s="210"/>
      <c r="G338" s="211"/>
      <c r="H338" s="214"/>
      <c r="I338" s="207"/>
      <c r="J338" s="208"/>
      <c r="K338" s="209"/>
      <c r="M338" s="111"/>
      <c r="N338" t="str">
        <f t="shared" si="14"/>
        <v/>
      </c>
      <c r="O338" s="5" t="str">
        <f t="shared" si="15"/>
        <v/>
      </c>
    </row>
    <row r="339" spans="2:15" x14ac:dyDescent="0.3">
      <c r="B339" s="202"/>
      <c r="C339" s="202"/>
      <c r="D339" s="210"/>
      <c r="E339" s="210"/>
      <c r="F339" s="210"/>
      <c r="G339" s="211"/>
      <c r="H339" s="214"/>
      <c r="I339" s="207"/>
      <c r="J339" s="208"/>
      <c r="K339" s="209"/>
      <c r="M339" s="111"/>
      <c r="N339" t="str">
        <f t="shared" si="14"/>
        <v/>
      </c>
      <c r="O339" s="5" t="str">
        <f t="shared" si="15"/>
        <v/>
      </c>
    </row>
    <row r="340" spans="2:15" x14ac:dyDescent="0.3">
      <c r="B340" s="202"/>
      <c r="C340" s="202"/>
      <c r="D340" s="210"/>
      <c r="E340" s="210"/>
      <c r="F340" s="210"/>
      <c r="G340" s="211"/>
      <c r="H340" s="214"/>
      <c r="I340" s="207"/>
      <c r="J340" s="208"/>
      <c r="K340" s="209"/>
      <c r="M340" s="111"/>
      <c r="N340" t="str">
        <f t="shared" si="14"/>
        <v/>
      </c>
      <c r="O340" s="5" t="str">
        <f t="shared" si="15"/>
        <v/>
      </c>
    </row>
    <row r="341" spans="2:15" x14ac:dyDescent="0.3">
      <c r="B341" s="202"/>
      <c r="C341" s="202"/>
      <c r="D341" s="210"/>
      <c r="E341" s="210"/>
      <c r="F341" s="210"/>
      <c r="G341" s="211"/>
      <c r="H341" s="214"/>
      <c r="I341" s="207"/>
      <c r="J341" s="208"/>
      <c r="K341" s="209"/>
      <c r="M341" s="111"/>
      <c r="N341" t="str">
        <f t="shared" si="14"/>
        <v/>
      </c>
      <c r="O341" s="5" t="str">
        <f t="shared" si="15"/>
        <v/>
      </c>
    </row>
    <row r="342" spans="2:15" x14ac:dyDescent="0.3">
      <c r="B342" s="202"/>
      <c r="C342" s="202"/>
      <c r="D342" s="210"/>
      <c r="E342" s="210"/>
      <c r="F342" s="210"/>
      <c r="G342" s="211"/>
      <c r="H342" s="214"/>
      <c r="I342" s="207"/>
      <c r="J342" s="208"/>
      <c r="K342" s="209"/>
      <c r="M342" s="111"/>
      <c r="N342" t="str">
        <f t="shared" si="14"/>
        <v/>
      </c>
      <c r="O342" s="5" t="str">
        <f t="shared" si="15"/>
        <v/>
      </c>
    </row>
    <row r="343" spans="2:15" x14ac:dyDescent="0.3">
      <c r="B343" s="202"/>
      <c r="C343" s="202"/>
      <c r="D343" s="210"/>
      <c r="E343" s="210"/>
      <c r="F343" s="210"/>
      <c r="G343" s="211"/>
      <c r="H343" s="214"/>
      <c r="I343" s="207"/>
      <c r="J343" s="208"/>
      <c r="K343" s="209"/>
      <c r="M343" s="111"/>
      <c r="N343" t="str">
        <f t="shared" si="14"/>
        <v/>
      </c>
      <c r="O343" s="5" t="str">
        <f t="shared" si="15"/>
        <v/>
      </c>
    </row>
    <row r="344" spans="2:15" x14ac:dyDescent="0.3">
      <c r="B344" s="202"/>
      <c r="C344" s="202"/>
      <c r="D344" s="210"/>
      <c r="E344" s="210"/>
      <c r="F344" s="210"/>
      <c r="G344" s="211"/>
      <c r="H344" s="214"/>
      <c r="I344" s="207"/>
      <c r="J344" s="208"/>
      <c r="K344" s="209"/>
      <c r="M344" s="111"/>
      <c r="N344" t="str">
        <f t="shared" si="14"/>
        <v/>
      </c>
      <c r="O344" s="5" t="str">
        <f t="shared" si="15"/>
        <v/>
      </c>
    </row>
    <row r="345" spans="2:15" x14ac:dyDescent="0.3">
      <c r="B345" s="202"/>
      <c r="C345" s="202"/>
      <c r="D345" s="210"/>
      <c r="E345" s="210"/>
      <c r="F345" s="210"/>
      <c r="G345" s="211"/>
      <c r="H345" s="214"/>
      <c r="I345" s="207"/>
      <c r="J345" s="208"/>
      <c r="K345" s="209"/>
      <c r="M345" s="111"/>
      <c r="N345" t="str">
        <f t="shared" si="14"/>
        <v/>
      </c>
      <c r="O345" s="5" t="str">
        <f t="shared" si="15"/>
        <v/>
      </c>
    </row>
    <row r="346" spans="2:15" x14ac:dyDescent="0.3">
      <c r="B346" s="202"/>
      <c r="C346" s="202"/>
      <c r="D346" s="210"/>
      <c r="E346" s="210"/>
      <c r="F346" s="210"/>
      <c r="G346" s="211"/>
      <c r="H346" s="214"/>
      <c r="I346" s="207"/>
      <c r="J346" s="208"/>
      <c r="K346" s="209"/>
      <c r="M346" s="111"/>
      <c r="N346" t="str">
        <f t="shared" si="14"/>
        <v/>
      </c>
      <c r="O346" s="5" t="str">
        <f t="shared" si="15"/>
        <v/>
      </c>
    </row>
    <row r="347" spans="2:15" x14ac:dyDescent="0.3">
      <c r="B347" s="202"/>
      <c r="C347" s="202"/>
      <c r="D347" s="210"/>
      <c r="E347" s="210"/>
      <c r="F347" s="210"/>
      <c r="G347" s="211"/>
      <c r="H347" s="214"/>
      <c r="I347" s="207"/>
      <c r="J347" s="208"/>
      <c r="K347" s="209"/>
      <c r="M347" s="111"/>
      <c r="N347" t="str">
        <f t="shared" si="14"/>
        <v/>
      </c>
      <c r="O347" s="5" t="str">
        <f t="shared" si="15"/>
        <v/>
      </c>
    </row>
    <row r="348" spans="2:15" x14ac:dyDescent="0.3">
      <c r="B348" s="202"/>
      <c r="C348" s="202"/>
      <c r="D348" s="210"/>
      <c r="E348" s="210"/>
      <c r="F348" s="210"/>
      <c r="G348" s="211"/>
      <c r="H348" s="214"/>
      <c r="I348" s="207"/>
      <c r="J348" s="208"/>
      <c r="K348" s="209"/>
      <c r="M348" s="111"/>
      <c r="N348" t="str">
        <f t="shared" si="14"/>
        <v/>
      </c>
      <c r="O348" s="5" t="str">
        <f t="shared" si="15"/>
        <v/>
      </c>
    </row>
    <row r="349" spans="2:15" x14ac:dyDescent="0.3">
      <c r="B349" s="202"/>
      <c r="C349" s="202"/>
      <c r="D349" s="210"/>
      <c r="E349" s="210"/>
      <c r="F349" s="210"/>
      <c r="G349" s="211"/>
      <c r="H349" s="214"/>
      <c r="I349" s="207"/>
      <c r="J349" s="208"/>
      <c r="K349" s="209"/>
      <c r="M349" s="111"/>
      <c r="N349" t="str">
        <f t="shared" si="14"/>
        <v/>
      </c>
      <c r="O349" s="5" t="str">
        <f t="shared" si="15"/>
        <v/>
      </c>
    </row>
    <row r="350" spans="2:15" x14ac:dyDescent="0.3">
      <c r="B350" s="202"/>
      <c r="C350" s="202"/>
      <c r="D350" s="210"/>
      <c r="E350" s="210"/>
      <c r="F350" s="210"/>
      <c r="G350" s="211"/>
      <c r="H350" s="214"/>
      <c r="I350" s="207"/>
      <c r="J350" s="208"/>
      <c r="K350" s="209"/>
      <c r="M350" s="111"/>
      <c r="N350" t="str">
        <f t="shared" si="14"/>
        <v/>
      </c>
      <c r="O350" s="5" t="str">
        <f t="shared" si="15"/>
        <v/>
      </c>
    </row>
    <row r="351" spans="2:15" x14ac:dyDescent="0.3">
      <c r="B351" s="202"/>
      <c r="C351" s="202"/>
      <c r="D351" s="210"/>
      <c r="E351" s="210"/>
      <c r="F351" s="210"/>
      <c r="G351" s="211"/>
      <c r="H351" s="214"/>
      <c r="I351" s="207"/>
      <c r="J351" s="208"/>
      <c r="K351" s="209"/>
      <c r="M351" s="111"/>
      <c r="N351" t="str">
        <f t="shared" si="14"/>
        <v/>
      </c>
      <c r="O351" s="5" t="str">
        <f t="shared" si="15"/>
        <v/>
      </c>
    </row>
    <row r="352" spans="2:15" x14ac:dyDescent="0.3">
      <c r="B352" s="202"/>
      <c r="C352" s="202"/>
      <c r="D352" s="210"/>
      <c r="E352" s="210"/>
      <c r="F352" s="210"/>
      <c r="G352" s="211"/>
      <c r="H352" s="214"/>
      <c r="I352" s="207"/>
      <c r="J352" s="208"/>
      <c r="K352" s="209"/>
      <c r="M352" s="111"/>
      <c r="N352" t="str">
        <f t="shared" si="14"/>
        <v/>
      </c>
      <c r="O352" s="5" t="str">
        <f t="shared" si="15"/>
        <v/>
      </c>
    </row>
    <row r="353" spans="2:15" x14ac:dyDescent="0.3">
      <c r="B353" s="202"/>
      <c r="C353" s="202"/>
      <c r="D353" s="210"/>
      <c r="E353" s="210"/>
      <c r="F353" s="210"/>
      <c r="G353" s="211"/>
      <c r="H353" s="214"/>
      <c r="I353" s="207"/>
      <c r="J353" s="208"/>
      <c r="K353" s="209"/>
      <c r="M353" s="111"/>
      <c r="N353" t="str">
        <f t="shared" si="14"/>
        <v/>
      </c>
      <c r="O353" s="5" t="str">
        <f t="shared" si="15"/>
        <v/>
      </c>
    </row>
    <row r="354" spans="2:15" x14ac:dyDescent="0.3">
      <c r="B354" s="202"/>
      <c r="C354" s="202"/>
      <c r="D354" s="210"/>
      <c r="E354" s="210"/>
      <c r="F354" s="210"/>
      <c r="G354" s="211"/>
      <c r="H354" s="214"/>
      <c r="I354" s="207"/>
      <c r="J354" s="208"/>
      <c r="K354" s="209"/>
      <c r="M354" s="111"/>
      <c r="N354" t="str">
        <f t="shared" si="14"/>
        <v/>
      </c>
      <c r="O354" s="5" t="str">
        <f t="shared" si="15"/>
        <v/>
      </c>
    </row>
    <row r="355" spans="2:15" x14ac:dyDescent="0.3">
      <c r="B355" s="202"/>
      <c r="C355" s="202"/>
      <c r="D355" s="210"/>
      <c r="E355" s="210"/>
      <c r="F355" s="210"/>
      <c r="G355" s="211"/>
      <c r="H355" s="214"/>
      <c r="I355" s="207"/>
      <c r="J355" s="208"/>
      <c r="K355" s="209"/>
      <c r="M355" s="111"/>
      <c r="N355" t="str">
        <f t="shared" si="14"/>
        <v/>
      </c>
      <c r="O355" s="5" t="str">
        <f t="shared" si="15"/>
        <v/>
      </c>
    </row>
    <row r="356" spans="2:15" x14ac:dyDescent="0.3">
      <c r="B356" s="202"/>
      <c r="C356" s="202"/>
      <c r="D356" s="210"/>
      <c r="E356" s="210"/>
      <c r="F356" s="210"/>
      <c r="G356" s="211"/>
      <c r="H356" s="214"/>
      <c r="I356" s="207"/>
      <c r="J356" s="208"/>
      <c r="K356" s="209"/>
      <c r="M356" s="111"/>
      <c r="N356" t="str">
        <f t="shared" si="14"/>
        <v/>
      </c>
      <c r="O356" s="5" t="str">
        <f t="shared" si="15"/>
        <v/>
      </c>
    </row>
    <row r="357" spans="2:15" x14ac:dyDescent="0.3">
      <c r="B357" s="202"/>
      <c r="C357" s="202"/>
      <c r="D357" s="210"/>
      <c r="E357" s="210"/>
      <c r="F357" s="210"/>
      <c r="G357" s="211"/>
      <c r="H357" s="214"/>
      <c r="I357" s="207"/>
      <c r="J357" s="208"/>
      <c r="K357" s="209"/>
      <c r="M357" s="111"/>
      <c r="N357" t="str">
        <f t="shared" si="14"/>
        <v/>
      </c>
      <c r="O357" s="5" t="str">
        <f t="shared" si="15"/>
        <v/>
      </c>
    </row>
    <row r="358" spans="2:15" x14ac:dyDescent="0.3">
      <c r="B358" s="202"/>
      <c r="C358" s="202"/>
      <c r="D358" s="210"/>
      <c r="E358" s="210"/>
      <c r="F358" s="210"/>
      <c r="G358" s="211"/>
      <c r="H358" s="214"/>
      <c r="I358" s="207"/>
      <c r="J358" s="208"/>
      <c r="K358" s="209"/>
      <c r="M358" s="111"/>
      <c r="N358" t="str">
        <f t="shared" si="14"/>
        <v/>
      </c>
      <c r="O358" s="5" t="str">
        <f t="shared" si="15"/>
        <v/>
      </c>
    </row>
    <row r="359" spans="2:15" x14ac:dyDescent="0.3">
      <c r="B359" s="202"/>
      <c r="C359" s="202"/>
      <c r="D359" s="210"/>
      <c r="E359" s="210"/>
      <c r="F359" s="210"/>
      <c r="G359" s="211"/>
      <c r="H359" s="214"/>
      <c r="I359" s="207"/>
      <c r="J359" s="208"/>
      <c r="K359" s="209"/>
      <c r="M359" s="111"/>
      <c r="N359" t="str">
        <f t="shared" si="14"/>
        <v/>
      </c>
      <c r="O359" s="5" t="str">
        <f t="shared" si="15"/>
        <v/>
      </c>
    </row>
    <row r="360" spans="2:15" x14ac:dyDescent="0.3">
      <c r="B360" s="202"/>
      <c r="C360" s="202"/>
      <c r="D360" s="210"/>
      <c r="E360" s="210"/>
      <c r="F360" s="210"/>
      <c r="G360" s="211"/>
      <c r="H360" s="214"/>
      <c r="I360" s="207"/>
      <c r="J360" s="208"/>
      <c r="K360" s="209"/>
      <c r="M360" s="111"/>
      <c r="N360" t="str">
        <f t="shared" si="14"/>
        <v/>
      </c>
      <c r="O360" s="5" t="str">
        <f t="shared" si="15"/>
        <v/>
      </c>
    </row>
    <row r="361" spans="2:15" x14ac:dyDescent="0.3">
      <c r="B361" s="202"/>
      <c r="C361" s="202"/>
      <c r="D361" s="210"/>
      <c r="E361" s="210"/>
      <c r="F361" s="210"/>
      <c r="G361" s="211"/>
      <c r="H361" s="214"/>
      <c r="I361" s="207"/>
      <c r="J361" s="208"/>
      <c r="K361" s="209"/>
      <c r="M361" s="111"/>
      <c r="N361" t="str">
        <f t="shared" si="14"/>
        <v/>
      </c>
      <c r="O361" s="5" t="str">
        <f t="shared" si="15"/>
        <v/>
      </c>
    </row>
    <row r="362" spans="2:15" x14ac:dyDescent="0.3">
      <c r="B362" s="202"/>
      <c r="C362" s="202"/>
      <c r="D362" s="210"/>
      <c r="E362" s="210"/>
      <c r="F362" s="210"/>
      <c r="G362" s="211"/>
      <c r="H362" s="214"/>
      <c r="I362" s="207"/>
      <c r="J362" s="208"/>
      <c r="K362" s="209"/>
      <c r="M362" s="111"/>
      <c r="N362" t="str">
        <f t="shared" si="14"/>
        <v/>
      </c>
      <c r="O362" s="5" t="str">
        <f t="shared" si="15"/>
        <v/>
      </c>
    </row>
    <row r="363" spans="2:15" x14ac:dyDescent="0.3">
      <c r="B363" s="202"/>
      <c r="C363" s="202"/>
      <c r="D363" s="210"/>
      <c r="E363" s="210"/>
      <c r="F363" s="210"/>
      <c r="G363" s="211"/>
      <c r="H363" s="214"/>
      <c r="I363" s="207"/>
      <c r="J363" s="208"/>
      <c r="K363" s="209"/>
      <c r="M363" s="111"/>
      <c r="N363" t="str">
        <f t="shared" si="14"/>
        <v/>
      </c>
      <c r="O363" s="5" t="str">
        <f t="shared" si="15"/>
        <v/>
      </c>
    </row>
    <row r="364" spans="2:15" x14ac:dyDescent="0.3">
      <c r="B364" s="202"/>
      <c r="C364" s="202"/>
      <c r="D364" s="210"/>
      <c r="E364" s="210"/>
      <c r="F364" s="210"/>
      <c r="G364" s="211"/>
      <c r="H364" s="214"/>
      <c r="I364" s="207"/>
      <c r="J364" s="208"/>
      <c r="K364" s="209"/>
      <c r="M364" s="111"/>
      <c r="N364" t="str">
        <f t="shared" si="14"/>
        <v/>
      </c>
      <c r="O364" s="5" t="str">
        <f t="shared" si="15"/>
        <v/>
      </c>
    </row>
    <row r="365" spans="2:15" x14ac:dyDescent="0.3">
      <c r="B365" s="202"/>
      <c r="C365" s="202"/>
      <c r="D365" s="210"/>
      <c r="E365" s="210"/>
      <c r="F365" s="210"/>
      <c r="G365" s="211"/>
      <c r="H365" s="214"/>
      <c r="I365" s="207"/>
      <c r="J365" s="208"/>
      <c r="K365" s="209"/>
      <c r="M365" s="111"/>
      <c r="N365" t="str">
        <f t="shared" si="14"/>
        <v/>
      </c>
      <c r="O365" s="5" t="str">
        <f t="shared" si="15"/>
        <v/>
      </c>
    </row>
    <row r="366" spans="2:15" x14ac:dyDescent="0.3">
      <c r="B366" s="202"/>
      <c r="C366" s="202"/>
      <c r="D366" s="210"/>
      <c r="E366" s="210"/>
      <c r="F366" s="210"/>
      <c r="G366" s="211"/>
      <c r="H366" s="214"/>
      <c r="I366" s="207"/>
      <c r="J366" s="208"/>
      <c r="K366" s="209"/>
      <c r="M366" s="111"/>
      <c r="N366" t="str">
        <f t="shared" si="14"/>
        <v/>
      </c>
      <c r="O366" s="5" t="str">
        <f t="shared" si="15"/>
        <v/>
      </c>
    </row>
    <row r="367" spans="2:15" x14ac:dyDescent="0.3">
      <c r="B367" s="202"/>
      <c r="C367" s="202"/>
      <c r="D367" s="210"/>
      <c r="E367" s="210"/>
      <c r="F367" s="210"/>
      <c r="G367" s="211"/>
      <c r="H367" s="214"/>
      <c r="I367" s="207"/>
      <c r="J367" s="208"/>
      <c r="K367" s="209"/>
      <c r="M367" s="111"/>
      <c r="N367" t="str">
        <f t="shared" si="14"/>
        <v/>
      </c>
      <c r="O367" s="5" t="str">
        <f t="shared" si="15"/>
        <v/>
      </c>
    </row>
    <row r="368" spans="2:15" x14ac:dyDescent="0.3">
      <c r="B368" s="202"/>
      <c r="C368" s="202"/>
      <c r="D368" s="210"/>
      <c r="E368" s="210"/>
      <c r="F368" s="210"/>
      <c r="G368" s="211"/>
      <c r="H368" s="214"/>
      <c r="I368" s="207"/>
      <c r="J368" s="208"/>
      <c r="K368" s="209"/>
      <c r="M368" s="111"/>
      <c r="N368" t="str">
        <f t="shared" si="14"/>
        <v/>
      </c>
      <c r="O368" s="5" t="str">
        <f t="shared" si="15"/>
        <v/>
      </c>
    </row>
    <row r="369" spans="2:15" x14ac:dyDescent="0.3">
      <c r="B369" s="202"/>
      <c r="C369" s="202"/>
      <c r="D369" s="210"/>
      <c r="E369" s="210"/>
      <c r="F369" s="210"/>
      <c r="G369" s="211"/>
      <c r="H369" s="214"/>
      <c r="I369" s="207"/>
      <c r="J369" s="208"/>
      <c r="K369" s="209"/>
      <c r="M369" s="111"/>
      <c r="N369" t="str">
        <f t="shared" si="14"/>
        <v/>
      </c>
      <c r="O369" s="5" t="str">
        <f t="shared" si="15"/>
        <v/>
      </c>
    </row>
    <row r="370" spans="2:15" x14ac:dyDescent="0.3">
      <c r="B370" s="202"/>
      <c r="C370" s="202"/>
      <c r="D370" s="210"/>
      <c r="E370" s="210"/>
      <c r="F370" s="210"/>
      <c r="G370" s="211"/>
      <c r="H370" s="214"/>
      <c r="I370" s="207"/>
      <c r="J370" s="208"/>
      <c r="K370" s="209"/>
      <c r="M370" s="111"/>
      <c r="N370" t="str">
        <f t="shared" si="14"/>
        <v/>
      </c>
      <c r="O370" s="5" t="str">
        <f t="shared" si="15"/>
        <v/>
      </c>
    </row>
    <row r="371" spans="2:15" x14ac:dyDescent="0.3">
      <c r="B371" s="202"/>
      <c r="C371" s="202"/>
      <c r="D371" s="210"/>
      <c r="E371" s="210"/>
      <c r="F371" s="210"/>
      <c r="G371" s="211"/>
      <c r="H371" s="214"/>
      <c r="I371" s="207"/>
      <c r="J371" s="208"/>
      <c r="K371" s="209"/>
      <c r="M371" s="111"/>
      <c r="N371" t="str">
        <f t="shared" si="14"/>
        <v/>
      </c>
      <c r="O371" s="5" t="str">
        <f t="shared" si="15"/>
        <v/>
      </c>
    </row>
    <row r="372" spans="2:15" x14ac:dyDescent="0.3">
      <c r="B372" s="202"/>
      <c r="C372" s="202"/>
      <c r="D372" s="210"/>
      <c r="E372" s="210"/>
      <c r="F372" s="210"/>
      <c r="G372" s="211"/>
      <c r="H372" s="214"/>
      <c r="I372" s="207"/>
      <c r="J372" s="208"/>
      <c r="K372" s="209"/>
      <c r="M372" s="111"/>
      <c r="N372" t="str">
        <f t="shared" si="14"/>
        <v/>
      </c>
      <c r="O372" s="5" t="str">
        <f t="shared" si="15"/>
        <v/>
      </c>
    </row>
    <row r="373" spans="2:15" x14ac:dyDescent="0.3">
      <c r="B373" s="202"/>
      <c r="C373" s="202"/>
      <c r="D373" s="210"/>
      <c r="E373" s="210"/>
      <c r="F373" s="210"/>
      <c r="G373" s="211"/>
      <c r="H373" s="214"/>
      <c r="I373" s="207"/>
      <c r="J373" s="208"/>
      <c r="K373" s="209"/>
      <c r="M373" s="111"/>
      <c r="N373" t="str">
        <f t="shared" si="14"/>
        <v/>
      </c>
      <c r="O373" s="5" t="str">
        <f t="shared" si="15"/>
        <v/>
      </c>
    </row>
    <row r="374" spans="2:15" x14ac:dyDescent="0.3">
      <c r="B374" s="202"/>
      <c r="C374" s="202"/>
      <c r="D374" s="210"/>
      <c r="E374" s="210"/>
      <c r="F374" s="210"/>
      <c r="G374" s="211"/>
      <c r="H374" s="214"/>
      <c r="I374" s="207"/>
      <c r="J374" s="208"/>
      <c r="K374" s="209"/>
      <c r="M374" s="111"/>
      <c r="N374" t="str">
        <f t="shared" si="14"/>
        <v/>
      </c>
      <c r="O374" s="5" t="str">
        <f t="shared" si="15"/>
        <v/>
      </c>
    </row>
    <row r="375" spans="2:15" x14ac:dyDescent="0.3">
      <c r="B375" s="202"/>
      <c r="C375" s="202"/>
      <c r="D375" s="210"/>
      <c r="E375" s="210"/>
      <c r="F375" s="210"/>
      <c r="G375" s="211"/>
      <c r="H375" s="214"/>
      <c r="I375" s="207"/>
      <c r="J375" s="208"/>
      <c r="K375" s="209"/>
      <c r="M375" s="111"/>
      <c r="N375" t="str">
        <f t="shared" si="14"/>
        <v/>
      </c>
      <c r="O375" s="5" t="str">
        <f t="shared" si="15"/>
        <v/>
      </c>
    </row>
    <row r="376" spans="2:15" x14ac:dyDescent="0.3">
      <c r="B376" s="202"/>
      <c r="C376" s="202"/>
      <c r="D376" s="210"/>
      <c r="E376" s="210"/>
      <c r="F376" s="210"/>
      <c r="G376" s="211"/>
      <c r="H376" s="214"/>
      <c r="I376" s="207"/>
      <c r="J376" s="208"/>
      <c r="K376" s="209"/>
      <c r="M376" s="111"/>
      <c r="N376" t="str">
        <f t="shared" si="14"/>
        <v/>
      </c>
      <c r="O376" s="5" t="str">
        <f t="shared" si="15"/>
        <v/>
      </c>
    </row>
    <row r="377" spans="2:15" x14ac:dyDescent="0.3">
      <c r="B377" s="202"/>
      <c r="C377" s="202"/>
      <c r="D377" s="210"/>
      <c r="E377" s="210"/>
      <c r="F377" s="210"/>
      <c r="G377" s="211"/>
      <c r="H377" s="214"/>
      <c r="I377" s="207"/>
      <c r="J377" s="208"/>
      <c r="K377" s="209"/>
      <c r="M377" s="111"/>
      <c r="N377" t="str">
        <f t="shared" si="14"/>
        <v/>
      </c>
      <c r="O377" s="5" t="str">
        <f t="shared" si="15"/>
        <v/>
      </c>
    </row>
    <row r="378" spans="2:15" x14ac:dyDescent="0.3">
      <c r="B378" s="202"/>
      <c r="C378" s="202"/>
      <c r="D378" s="210"/>
      <c r="E378" s="210"/>
      <c r="F378" s="210"/>
      <c r="G378" s="211"/>
      <c r="H378" s="214"/>
      <c r="I378" s="207"/>
      <c r="J378" s="208"/>
      <c r="K378" s="209"/>
      <c r="M378" s="111"/>
      <c r="N378" t="str">
        <f t="shared" si="14"/>
        <v/>
      </c>
      <c r="O378" s="5" t="str">
        <f t="shared" si="15"/>
        <v/>
      </c>
    </row>
    <row r="379" spans="2:15" x14ac:dyDescent="0.3">
      <c r="B379" s="202"/>
      <c r="C379" s="202"/>
      <c r="D379" s="210"/>
      <c r="E379" s="210"/>
      <c r="F379" s="210"/>
      <c r="G379" s="211"/>
      <c r="H379" s="214"/>
      <c r="I379" s="207"/>
      <c r="J379" s="208"/>
      <c r="K379" s="209"/>
      <c r="M379" s="111"/>
      <c r="N379" t="str">
        <f t="shared" si="14"/>
        <v/>
      </c>
      <c r="O379" s="5" t="str">
        <f t="shared" si="15"/>
        <v/>
      </c>
    </row>
    <row r="380" spans="2:15" x14ac:dyDescent="0.3">
      <c r="B380" s="202"/>
      <c r="C380" s="202"/>
      <c r="D380" s="210"/>
      <c r="E380" s="210"/>
      <c r="F380" s="210"/>
      <c r="G380" s="211"/>
      <c r="H380" s="214"/>
      <c r="I380" s="207"/>
      <c r="J380" s="208"/>
      <c r="K380" s="209"/>
      <c r="M380" s="111"/>
      <c r="N380" t="str">
        <f t="shared" si="14"/>
        <v/>
      </c>
      <c r="O380" s="5" t="str">
        <f t="shared" si="15"/>
        <v/>
      </c>
    </row>
    <row r="381" spans="2:15" x14ac:dyDescent="0.3">
      <c r="B381" s="202"/>
      <c r="C381" s="202"/>
      <c r="D381" s="210"/>
      <c r="E381" s="210"/>
      <c r="F381" s="210"/>
      <c r="G381" s="211"/>
      <c r="H381" s="214"/>
      <c r="I381" s="207"/>
      <c r="J381" s="208"/>
      <c r="K381" s="209"/>
      <c r="M381" s="111"/>
      <c r="N381" t="str">
        <f t="shared" si="14"/>
        <v/>
      </c>
      <c r="O381" s="5" t="str">
        <f t="shared" si="15"/>
        <v/>
      </c>
    </row>
    <row r="382" spans="2:15" x14ac:dyDescent="0.3">
      <c r="B382" s="202"/>
      <c r="C382" s="202"/>
      <c r="D382" s="210"/>
      <c r="E382" s="210"/>
      <c r="F382" s="210"/>
      <c r="G382" s="211"/>
      <c r="H382" s="214"/>
      <c r="I382" s="207"/>
      <c r="J382" s="208"/>
      <c r="K382" s="209"/>
      <c r="M382" s="111"/>
      <c r="N382" t="str">
        <f t="shared" si="14"/>
        <v/>
      </c>
      <c r="O382" s="5" t="str">
        <f t="shared" si="15"/>
        <v/>
      </c>
    </row>
    <row r="383" spans="2:15" x14ac:dyDescent="0.3">
      <c r="B383" s="202"/>
      <c r="C383" s="202"/>
      <c r="D383" s="210"/>
      <c r="E383" s="210"/>
      <c r="F383" s="210"/>
      <c r="G383" s="211"/>
      <c r="H383" s="214"/>
      <c r="I383" s="207"/>
      <c r="J383" s="208"/>
      <c r="K383" s="209"/>
      <c r="M383" s="111"/>
      <c r="N383" t="str">
        <f t="shared" si="14"/>
        <v/>
      </c>
      <c r="O383" s="5" t="str">
        <f t="shared" si="15"/>
        <v/>
      </c>
    </row>
    <row r="384" spans="2:15" x14ac:dyDescent="0.3">
      <c r="B384" s="202"/>
      <c r="C384" s="202"/>
      <c r="D384" s="210"/>
      <c r="E384" s="210"/>
      <c r="F384" s="210"/>
      <c r="G384" s="211"/>
      <c r="H384" s="214"/>
      <c r="I384" s="207"/>
      <c r="J384" s="208"/>
      <c r="K384" s="209"/>
      <c r="M384" s="111"/>
      <c r="N384" t="str">
        <f t="shared" si="14"/>
        <v/>
      </c>
      <c r="O384" s="5" t="str">
        <f t="shared" si="15"/>
        <v/>
      </c>
    </row>
    <row r="385" spans="2:15" x14ac:dyDescent="0.3">
      <c r="B385" s="202"/>
      <c r="C385" s="202"/>
      <c r="D385" s="210"/>
      <c r="E385" s="210"/>
      <c r="F385" s="210"/>
      <c r="G385" s="211"/>
      <c r="H385" s="214"/>
      <c r="I385" s="207"/>
      <c r="J385" s="208"/>
      <c r="K385" s="209"/>
      <c r="M385" s="111"/>
      <c r="N385" t="str">
        <f t="shared" si="14"/>
        <v/>
      </c>
      <c r="O385" s="5" t="str">
        <f t="shared" si="15"/>
        <v/>
      </c>
    </row>
    <row r="386" spans="2:15" x14ac:dyDescent="0.3">
      <c r="B386" s="202"/>
      <c r="C386" s="202"/>
      <c r="D386" s="210"/>
      <c r="E386" s="210"/>
      <c r="F386" s="210"/>
      <c r="G386" s="211"/>
      <c r="H386" s="214"/>
      <c r="I386" s="207"/>
      <c r="J386" s="208"/>
      <c r="K386" s="209"/>
      <c r="M386" s="111"/>
      <c r="N386" t="str">
        <f t="shared" si="14"/>
        <v/>
      </c>
      <c r="O386" s="5" t="str">
        <f t="shared" si="15"/>
        <v/>
      </c>
    </row>
    <row r="387" spans="2:15" x14ac:dyDescent="0.3">
      <c r="B387" s="202"/>
      <c r="C387" s="202"/>
      <c r="D387" s="210"/>
      <c r="E387" s="210"/>
      <c r="F387" s="210"/>
      <c r="G387" s="211"/>
      <c r="H387" s="214"/>
      <c r="I387" s="207"/>
      <c r="J387" s="208"/>
      <c r="K387" s="209"/>
      <c r="M387" s="111"/>
      <c r="N387" t="str">
        <f t="shared" si="14"/>
        <v/>
      </c>
      <c r="O387" s="5" t="str">
        <f t="shared" si="15"/>
        <v/>
      </c>
    </row>
    <row r="388" spans="2:15" x14ac:dyDescent="0.3">
      <c r="B388" s="202"/>
      <c r="C388" s="202"/>
      <c r="D388" s="210"/>
      <c r="E388" s="210"/>
      <c r="F388" s="210"/>
      <c r="G388" s="211"/>
      <c r="H388" s="214"/>
      <c r="I388" s="207"/>
      <c r="J388" s="208"/>
      <c r="K388" s="209"/>
      <c r="M388" s="111"/>
      <c r="N388" t="str">
        <f t="shared" si="14"/>
        <v/>
      </c>
      <c r="O388" s="5" t="str">
        <f t="shared" si="15"/>
        <v/>
      </c>
    </row>
    <row r="389" spans="2:15" x14ac:dyDescent="0.3">
      <c r="B389" s="202"/>
      <c r="C389" s="202"/>
      <c r="D389" s="210"/>
      <c r="E389" s="210"/>
      <c r="F389" s="210"/>
      <c r="G389" s="211"/>
      <c r="H389" s="214"/>
      <c r="I389" s="207"/>
      <c r="J389" s="208"/>
      <c r="K389" s="209"/>
      <c r="M389" s="111"/>
      <c r="N389" t="str">
        <f t="shared" si="14"/>
        <v/>
      </c>
      <c r="O389" s="5" t="str">
        <f t="shared" si="15"/>
        <v/>
      </c>
    </row>
    <row r="390" spans="2:15" x14ac:dyDescent="0.3">
      <c r="B390" s="202"/>
      <c r="C390" s="202"/>
      <c r="D390" s="210"/>
      <c r="E390" s="210"/>
      <c r="F390" s="210"/>
      <c r="G390" s="211"/>
      <c r="H390" s="214"/>
      <c r="I390" s="207"/>
      <c r="J390" s="208"/>
      <c r="K390" s="209"/>
      <c r="M390" s="111"/>
      <c r="N390" t="str">
        <f t="shared" si="14"/>
        <v/>
      </c>
      <c r="O390" s="5" t="str">
        <f t="shared" si="15"/>
        <v/>
      </c>
    </row>
    <row r="391" spans="2:15" x14ac:dyDescent="0.3">
      <c r="B391" s="202"/>
      <c r="C391" s="202"/>
      <c r="D391" s="210"/>
      <c r="E391" s="210"/>
      <c r="F391" s="210"/>
      <c r="G391" s="211"/>
      <c r="H391" s="214"/>
      <c r="I391" s="207"/>
      <c r="J391" s="208"/>
      <c r="K391" s="209"/>
      <c r="M391" s="111"/>
      <c r="N391" t="str">
        <f t="shared" ref="N391:N454" si="16">IFERROR(IF($B391="","",MONTH($B$6:$B$500)),0)</f>
        <v/>
      </c>
      <c r="O391" s="5" t="str">
        <f t="shared" ref="O391:O454" si="17">IFERROR(IF($B391="","",YEAR($B$6:$B$500)),0)</f>
        <v/>
      </c>
    </row>
    <row r="392" spans="2:15" x14ac:dyDescent="0.3">
      <c r="B392" s="202"/>
      <c r="C392" s="202"/>
      <c r="D392" s="210"/>
      <c r="E392" s="210"/>
      <c r="F392" s="210"/>
      <c r="G392" s="211"/>
      <c r="H392" s="214"/>
      <c r="I392" s="207"/>
      <c r="J392" s="208"/>
      <c r="K392" s="209"/>
      <c r="M392" s="111"/>
      <c r="N392" t="str">
        <f t="shared" si="16"/>
        <v/>
      </c>
      <c r="O392" s="5" t="str">
        <f t="shared" si="17"/>
        <v/>
      </c>
    </row>
    <row r="393" spans="2:15" x14ac:dyDescent="0.3">
      <c r="B393" s="202"/>
      <c r="C393" s="202"/>
      <c r="D393" s="210"/>
      <c r="E393" s="210"/>
      <c r="F393" s="210"/>
      <c r="G393" s="211"/>
      <c r="H393" s="214"/>
      <c r="I393" s="207"/>
      <c r="J393" s="208"/>
      <c r="K393" s="209"/>
      <c r="M393" s="111"/>
      <c r="N393" t="str">
        <f t="shared" si="16"/>
        <v/>
      </c>
      <c r="O393" s="5" t="str">
        <f t="shared" si="17"/>
        <v/>
      </c>
    </row>
    <row r="394" spans="2:15" x14ac:dyDescent="0.3">
      <c r="B394" s="202"/>
      <c r="C394" s="202"/>
      <c r="D394" s="210"/>
      <c r="E394" s="210"/>
      <c r="F394" s="210"/>
      <c r="G394" s="211"/>
      <c r="H394" s="214"/>
      <c r="I394" s="207"/>
      <c r="J394" s="208"/>
      <c r="K394" s="209"/>
      <c r="M394" s="111"/>
      <c r="N394" t="str">
        <f t="shared" si="16"/>
        <v/>
      </c>
      <c r="O394" s="5" t="str">
        <f t="shared" si="17"/>
        <v/>
      </c>
    </row>
    <row r="395" spans="2:15" x14ac:dyDescent="0.3">
      <c r="B395" s="202"/>
      <c r="C395" s="202"/>
      <c r="D395" s="210"/>
      <c r="E395" s="210"/>
      <c r="F395" s="210"/>
      <c r="G395" s="211"/>
      <c r="H395" s="214"/>
      <c r="I395" s="207"/>
      <c r="J395" s="208"/>
      <c r="K395" s="209"/>
      <c r="M395" s="111"/>
      <c r="N395" t="str">
        <f t="shared" si="16"/>
        <v/>
      </c>
      <c r="O395" s="5" t="str">
        <f t="shared" si="17"/>
        <v/>
      </c>
    </row>
    <row r="396" spans="2:15" x14ac:dyDescent="0.3">
      <c r="B396" s="202"/>
      <c r="C396" s="202"/>
      <c r="D396" s="210"/>
      <c r="E396" s="210"/>
      <c r="F396" s="210"/>
      <c r="G396" s="211"/>
      <c r="H396" s="214"/>
      <c r="I396" s="207"/>
      <c r="J396" s="208"/>
      <c r="K396" s="209"/>
      <c r="M396" s="111"/>
      <c r="N396" t="str">
        <f t="shared" si="16"/>
        <v/>
      </c>
      <c r="O396" s="5" t="str">
        <f t="shared" si="17"/>
        <v/>
      </c>
    </row>
    <row r="397" spans="2:15" x14ac:dyDescent="0.3">
      <c r="B397" s="202"/>
      <c r="C397" s="202"/>
      <c r="D397" s="210"/>
      <c r="E397" s="210"/>
      <c r="F397" s="210"/>
      <c r="G397" s="211"/>
      <c r="H397" s="214"/>
      <c r="I397" s="207"/>
      <c r="J397" s="208"/>
      <c r="K397" s="209"/>
      <c r="M397" s="111"/>
      <c r="N397" t="str">
        <f t="shared" si="16"/>
        <v/>
      </c>
      <c r="O397" s="5" t="str">
        <f t="shared" si="17"/>
        <v/>
      </c>
    </row>
    <row r="398" spans="2:15" x14ac:dyDescent="0.3">
      <c r="B398" s="202"/>
      <c r="C398" s="202"/>
      <c r="D398" s="210"/>
      <c r="E398" s="210"/>
      <c r="F398" s="210"/>
      <c r="G398" s="211"/>
      <c r="H398" s="214"/>
      <c r="I398" s="207"/>
      <c r="J398" s="208"/>
      <c r="K398" s="209"/>
      <c r="M398" s="111"/>
      <c r="N398" t="str">
        <f t="shared" si="16"/>
        <v/>
      </c>
      <c r="O398" s="5" t="str">
        <f t="shared" si="17"/>
        <v/>
      </c>
    </row>
    <row r="399" spans="2:15" x14ac:dyDescent="0.3">
      <c r="B399" s="202"/>
      <c r="C399" s="202"/>
      <c r="D399" s="210"/>
      <c r="E399" s="210"/>
      <c r="F399" s="210"/>
      <c r="G399" s="211"/>
      <c r="H399" s="214"/>
      <c r="I399" s="207"/>
      <c r="J399" s="208"/>
      <c r="K399" s="209"/>
      <c r="M399" s="111"/>
      <c r="N399" t="str">
        <f t="shared" si="16"/>
        <v/>
      </c>
      <c r="O399" s="5" t="str">
        <f t="shared" si="17"/>
        <v/>
      </c>
    </row>
    <row r="400" spans="2:15" x14ac:dyDescent="0.3">
      <c r="B400" s="202"/>
      <c r="C400" s="202"/>
      <c r="D400" s="210"/>
      <c r="E400" s="210"/>
      <c r="F400" s="210"/>
      <c r="G400" s="211"/>
      <c r="H400" s="214"/>
      <c r="I400" s="207"/>
      <c r="J400" s="208"/>
      <c r="K400" s="209"/>
      <c r="M400" s="111"/>
      <c r="N400" t="str">
        <f t="shared" si="16"/>
        <v/>
      </c>
      <c r="O400" s="5" t="str">
        <f t="shared" si="17"/>
        <v/>
      </c>
    </row>
    <row r="401" spans="2:15" x14ac:dyDescent="0.3">
      <c r="B401" s="202"/>
      <c r="C401" s="202"/>
      <c r="D401" s="210"/>
      <c r="E401" s="210"/>
      <c r="F401" s="210"/>
      <c r="G401" s="211"/>
      <c r="H401" s="214"/>
      <c r="I401" s="207"/>
      <c r="J401" s="208"/>
      <c r="K401" s="209"/>
      <c r="M401" s="111"/>
      <c r="N401" t="str">
        <f t="shared" si="16"/>
        <v/>
      </c>
      <c r="O401" s="5" t="str">
        <f t="shared" si="17"/>
        <v/>
      </c>
    </row>
    <row r="402" spans="2:15" x14ac:dyDescent="0.3">
      <c r="B402" s="202"/>
      <c r="C402" s="202"/>
      <c r="D402" s="210"/>
      <c r="E402" s="210"/>
      <c r="F402" s="210"/>
      <c r="G402" s="211"/>
      <c r="H402" s="214"/>
      <c r="I402" s="207"/>
      <c r="J402" s="208"/>
      <c r="K402" s="209"/>
      <c r="M402" s="111"/>
      <c r="N402" t="str">
        <f t="shared" si="16"/>
        <v/>
      </c>
      <c r="O402" s="5" t="str">
        <f t="shared" si="17"/>
        <v/>
      </c>
    </row>
    <row r="403" spans="2:15" x14ac:dyDescent="0.3">
      <c r="B403" s="202"/>
      <c r="C403" s="202"/>
      <c r="D403" s="210"/>
      <c r="E403" s="210"/>
      <c r="F403" s="210"/>
      <c r="G403" s="211"/>
      <c r="H403" s="214"/>
      <c r="I403" s="207"/>
      <c r="J403" s="208"/>
      <c r="K403" s="209"/>
      <c r="M403" s="111"/>
      <c r="N403" t="str">
        <f t="shared" si="16"/>
        <v/>
      </c>
      <c r="O403" s="5" t="str">
        <f t="shared" si="17"/>
        <v/>
      </c>
    </row>
    <row r="404" spans="2:15" x14ac:dyDescent="0.3">
      <c r="B404" s="202"/>
      <c r="C404" s="202"/>
      <c r="D404" s="210"/>
      <c r="E404" s="210"/>
      <c r="F404" s="210"/>
      <c r="G404" s="211"/>
      <c r="H404" s="214"/>
      <c r="I404" s="207"/>
      <c r="J404" s="208"/>
      <c r="K404" s="209"/>
      <c r="M404" s="111"/>
      <c r="N404" t="str">
        <f t="shared" si="16"/>
        <v/>
      </c>
      <c r="O404" s="5" t="str">
        <f t="shared" si="17"/>
        <v/>
      </c>
    </row>
    <row r="405" spans="2:15" x14ac:dyDescent="0.3">
      <c r="B405" s="202"/>
      <c r="C405" s="202"/>
      <c r="D405" s="210"/>
      <c r="E405" s="210"/>
      <c r="F405" s="210"/>
      <c r="G405" s="211"/>
      <c r="H405" s="214"/>
      <c r="I405" s="207"/>
      <c r="J405" s="208"/>
      <c r="K405" s="209"/>
      <c r="M405" s="111"/>
      <c r="N405" t="str">
        <f t="shared" si="16"/>
        <v/>
      </c>
      <c r="O405" s="5" t="str">
        <f t="shared" si="17"/>
        <v/>
      </c>
    </row>
    <row r="406" spans="2:15" x14ac:dyDescent="0.3">
      <c r="B406" s="202"/>
      <c r="C406" s="202"/>
      <c r="D406" s="210"/>
      <c r="E406" s="210"/>
      <c r="F406" s="210"/>
      <c r="G406" s="211"/>
      <c r="H406" s="214"/>
      <c r="I406" s="207"/>
      <c r="J406" s="208"/>
      <c r="K406" s="209"/>
      <c r="M406" s="111"/>
      <c r="N406" t="str">
        <f t="shared" si="16"/>
        <v/>
      </c>
      <c r="O406" s="5" t="str">
        <f t="shared" si="17"/>
        <v/>
      </c>
    </row>
    <row r="407" spans="2:15" x14ac:dyDescent="0.3">
      <c r="B407" s="202"/>
      <c r="C407" s="202"/>
      <c r="D407" s="210"/>
      <c r="E407" s="210"/>
      <c r="F407" s="210"/>
      <c r="G407" s="211"/>
      <c r="H407" s="214"/>
      <c r="I407" s="207"/>
      <c r="J407" s="208"/>
      <c r="K407" s="209"/>
      <c r="M407" s="111"/>
      <c r="N407" t="str">
        <f t="shared" si="16"/>
        <v/>
      </c>
      <c r="O407" s="5" t="str">
        <f t="shared" si="17"/>
        <v/>
      </c>
    </row>
    <row r="408" spans="2:15" x14ac:dyDescent="0.3">
      <c r="B408" s="202"/>
      <c r="C408" s="202"/>
      <c r="D408" s="210"/>
      <c r="E408" s="210"/>
      <c r="F408" s="210"/>
      <c r="G408" s="211"/>
      <c r="H408" s="214"/>
      <c r="I408" s="207"/>
      <c r="J408" s="208"/>
      <c r="K408" s="209"/>
      <c r="M408" s="111"/>
      <c r="N408" t="str">
        <f t="shared" si="16"/>
        <v/>
      </c>
      <c r="O408" s="5" t="str">
        <f t="shared" si="17"/>
        <v/>
      </c>
    </row>
    <row r="409" spans="2:15" x14ac:dyDescent="0.3">
      <c r="B409" s="202"/>
      <c r="C409" s="202"/>
      <c r="D409" s="210"/>
      <c r="E409" s="210"/>
      <c r="F409" s="210"/>
      <c r="G409" s="211"/>
      <c r="H409" s="214"/>
      <c r="I409" s="207"/>
      <c r="J409" s="208"/>
      <c r="K409" s="209"/>
      <c r="M409" s="111"/>
      <c r="N409" t="str">
        <f t="shared" si="16"/>
        <v/>
      </c>
      <c r="O409" s="5" t="str">
        <f t="shared" si="17"/>
        <v/>
      </c>
    </row>
    <row r="410" spans="2:15" x14ac:dyDescent="0.3">
      <c r="B410" s="202"/>
      <c r="C410" s="202"/>
      <c r="D410" s="210"/>
      <c r="E410" s="210"/>
      <c r="F410" s="210"/>
      <c r="G410" s="211"/>
      <c r="H410" s="214"/>
      <c r="I410" s="207"/>
      <c r="J410" s="208"/>
      <c r="K410" s="209"/>
      <c r="M410" s="111"/>
      <c r="N410" t="str">
        <f t="shared" si="16"/>
        <v/>
      </c>
      <c r="O410" s="5" t="str">
        <f t="shared" si="17"/>
        <v/>
      </c>
    </row>
    <row r="411" spans="2:15" x14ac:dyDescent="0.3">
      <c r="B411" s="202"/>
      <c r="C411" s="202"/>
      <c r="D411" s="210"/>
      <c r="E411" s="210"/>
      <c r="F411" s="210"/>
      <c r="G411" s="211"/>
      <c r="H411" s="214"/>
      <c r="I411" s="207"/>
      <c r="J411" s="208"/>
      <c r="K411" s="209"/>
      <c r="M411" s="111"/>
      <c r="N411" t="str">
        <f t="shared" si="16"/>
        <v/>
      </c>
      <c r="O411" s="5" t="str">
        <f t="shared" si="17"/>
        <v/>
      </c>
    </row>
    <row r="412" spans="2:15" x14ac:dyDescent="0.3">
      <c r="B412" s="202"/>
      <c r="C412" s="202"/>
      <c r="D412" s="210"/>
      <c r="E412" s="210"/>
      <c r="F412" s="210"/>
      <c r="G412" s="211"/>
      <c r="H412" s="214"/>
      <c r="I412" s="207"/>
      <c r="J412" s="208"/>
      <c r="K412" s="209"/>
      <c r="M412" s="111"/>
      <c r="N412" t="str">
        <f t="shared" si="16"/>
        <v/>
      </c>
      <c r="O412" s="5" t="str">
        <f t="shared" si="17"/>
        <v/>
      </c>
    </row>
    <row r="413" spans="2:15" x14ac:dyDescent="0.3">
      <c r="B413" s="202"/>
      <c r="C413" s="202"/>
      <c r="D413" s="210"/>
      <c r="E413" s="210"/>
      <c r="F413" s="210"/>
      <c r="G413" s="211"/>
      <c r="H413" s="214"/>
      <c r="I413" s="207"/>
      <c r="J413" s="208"/>
      <c r="K413" s="209"/>
      <c r="M413" s="111"/>
      <c r="N413" t="str">
        <f t="shared" si="16"/>
        <v/>
      </c>
      <c r="O413" s="5" t="str">
        <f t="shared" si="17"/>
        <v/>
      </c>
    </row>
    <row r="414" spans="2:15" x14ac:dyDescent="0.3">
      <c r="B414" s="202"/>
      <c r="C414" s="202"/>
      <c r="D414" s="210"/>
      <c r="E414" s="210"/>
      <c r="F414" s="210"/>
      <c r="G414" s="211"/>
      <c r="H414" s="214"/>
      <c r="I414" s="207"/>
      <c r="J414" s="208"/>
      <c r="K414" s="209"/>
      <c r="M414" s="111"/>
      <c r="N414" t="str">
        <f t="shared" si="16"/>
        <v/>
      </c>
      <c r="O414" s="5" t="str">
        <f t="shared" si="17"/>
        <v/>
      </c>
    </row>
    <row r="415" spans="2:15" x14ac:dyDescent="0.3">
      <c r="B415" s="202"/>
      <c r="C415" s="202"/>
      <c r="D415" s="210"/>
      <c r="E415" s="210"/>
      <c r="F415" s="210"/>
      <c r="G415" s="211"/>
      <c r="H415" s="214"/>
      <c r="I415" s="207"/>
      <c r="J415" s="208"/>
      <c r="K415" s="209"/>
      <c r="M415" s="111"/>
      <c r="N415" t="str">
        <f t="shared" si="16"/>
        <v/>
      </c>
      <c r="O415" s="5" t="str">
        <f t="shared" si="17"/>
        <v/>
      </c>
    </row>
    <row r="416" spans="2:15" x14ac:dyDescent="0.3">
      <c r="B416" s="202"/>
      <c r="C416" s="202"/>
      <c r="D416" s="210"/>
      <c r="E416" s="210"/>
      <c r="F416" s="210"/>
      <c r="G416" s="211"/>
      <c r="H416" s="214"/>
      <c r="I416" s="207"/>
      <c r="J416" s="208"/>
      <c r="K416" s="209"/>
      <c r="M416" s="111"/>
      <c r="N416" t="str">
        <f t="shared" si="16"/>
        <v/>
      </c>
      <c r="O416" s="5" t="str">
        <f t="shared" si="17"/>
        <v/>
      </c>
    </row>
    <row r="417" spans="2:15" x14ac:dyDescent="0.3">
      <c r="B417" s="202"/>
      <c r="C417" s="202"/>
      <c r="D417" s="210"/>
      <c r="E417" s="210"/>
      <c r="F417" s="210"/>
      <c r="G417" s="211"/>
      <c r="H417" s="214"/>
      <c r="I417" s="207"/>
      <c r="J417" s="208"/>
      <c r="K417" s="209"/>
      <c r="M417" s="111"/>
      <c r="N417" t="str">
        <f t="shared" si="16"/>
        <v/>
      </c>
      <c r="O417" s="5" t="str">
        <f t="shared" si="17"/>
        <v/>
      </c>
    </row>
    <row r="418" spans="2:15" x14ac:dyDescent="0.3">
      <c r="B418" s="202"/>
      <c r="C418" s="202"/>
      <c r="D418" s="210"/>
      <c r="E418" s="210"/>
      <c r="F418" s="210"/>
      <c r="G418" s="211"/>
      <c r="H418" s="214"/>
      <c r="I418" s="207"/>
      <c r="J418" s="208"/>
      <c r="K418" s="209"/>
      <c r="M418" s="111"/>
      <c r="N418" t="str">
        <f t="shared" si="16"/>
        <v/>
      </c>
      <c r="O418" s="5" t="str">
        <f t="shared" si="17"/>
        <v/>
      </c>
    </row>
    <row r="419" spans="2:15" x14ac:dyDescent="0.3">
      <c r="B419" s="202"/>
      <c r="C419" s="202"/>
      <c r="D419" s="210"/>
      <c r="E419" s="210"/>
      <c r="F419" s="210"/>
      <c r="G419" s="211"/>
      <c r="H419" s="214"/>
      <c r="I419" s="207"/>
      <c r="J419" s="208"/>
      <c r="K419" s="209"/>
      <c r="M419" s="111"/>
      <c r="N419" t="str">
        <f t="shared" si="16"/>
        <v/>
      </c>
      <c r="O419" s="5" t="str">
        <f t="shared" si="17"/>
        <v/>
      </c>
    </row>
    <row r="420" spans="2:15" x14ac:dyDescent="0.3">
      <c r="B420" s="202"/>
      <c r="C420" s="202"/>
      <c r="D420" s="210"/>
      <c r="E420" s="210"/>
      <c r="F420" s="210"/>
      <c r="G420" s="211"/>
      <c r="H420" s="214"/>
      <c r="I420" s="207"/>
      <c r="J420" s="208"/>
      <c r="K420" s="209"/>
      <c r="M420" s="111"/>
      <c r="N420" t="str">
        <f t="shared" si="16"/>
        <v/>
      </c>
      <c r="O420" s="5" t="str">
        <f t="shared" si="17"/>
        <v/>
      </c>
    </row>
    <row r="421" spans="2:15" x14ac:dyDescent="0.3">
      <c r="B421" s="202"/>
      <c r="C421" s="202"/>
      <c r="D421" s="210"/>
      <c r="E421" s="210"/>
      <c r="F421" s="210"/>
      <c r="G421" s="211"/>
      <c r="H421" s="214"/>
      <c r="I421" s="207"/>
      <c r="J421" s="208"/>
      <c r="K421" s="209"/>
      <c r="M421" s="111"/>
      <c r="N421" t="str">
        <f t="shared" si="16"/>
        <v/>
      </c>
      <c r="O421" s="5" t="str">
        <f t="shared" si="17"/>
        <v/>
      </c>
    </row>
    <row r="422" spans="2:15" x14ac:dyDescent="0.3">
      <c r="B422" s="202"/>
      <c r="C422" s="202"/>
      <c r="D422" s="210"/>
      <c r="E422" s="210"/>
      <c r="F422" s="210"/>
      <c r="G422" s="211"/>
      <c r="H422" s="214"/>
      <c r="I422" s="207"/>
      <c r="J422" s="208"/>
      <c r="K422" s="209"/>
      <c r="M422" s="111"/>
      <c r="N422" t="str">
        <f t="shared" si="16"/>
        <v/>
      </c>
      <c r="O422" s="5" t="str">
        <f t="shared" si="17"/>
        <v/>
      </c>
    </row>
    <row r="423" spans="2:15" x14ac:dyDescent="0.3">
      <c r="B423" s="202"/>
      <c r="C423" s="202"/>
      <c r="D423" s="210"/>
      <c r="E423" s="210"/>
      <c r="F423" s="210"/>
      <c r="G423" s="211"/>
      <c r="H423" s="214"/>
      <c r="I423" s="207"/>
      <c r="J423" s="208"/>
      <c r="K423" s="209"/>
      <c r="M423" s="111"/>
      <c r="N423" t="str">
        <f t="shared" si="16"/>
        <v/>
      </c>
      <c r="O423" s="5" t="str">
        <f t="shared" si="17"/>
        <v/>
      </c>
    </row>
    <row r="424" spans="2:15" x14ac:dyDescent="0.3">
      <c r="B424" s="202"/>
      <c r="C424" s="202"/>
      <c r="D424" s="210"/>
      <c r="E424" s="210"/>
      <c r="F424" s="210"/>
      <c r="G424" s="211"/>
      <c r="H424" s="214"/>
      <c r="I424" s="207"/>
      <c r="J424" s="208"/>
      <c r="K424" s="209"/>
      <c r="M424" s="111"/>
      <c r="N424" t="str">
        <f t="shared" si="16"/>
        <v/>
      </c>
      <c r="O424" s="5" t="str">
        <f t="shared" si="17"/>
        <v/>
      </c>
    </row>
    <row r="425" spans="2:15" x14ac:dyDescent="0.3">
      <c r="B425" s="202"/>
      <c r="C425" s="202"/>
      <c r="D425" s="210"/>
      <c r="E425" s="210"/>
      <c r="F425" s="210"/>
      <c r="G425" s="211"/>
      <c r="H425" s="214"/>
      <c r="I425" s="207"/>
      <c r="J425" s="208"/>
      <c r="K425" s="209"/>
      <c r="M425" s="111"/>
      <c r="N425" t="str">
        <f t="shared" si="16"/>
        <v/>
      </c>
      <c r="O425" s="5" t="str">
        <f t="shared" si="17"/>
        <v/>
      </c>
    </row>
    <row r="426" spans="2:15" x14ac:dyDescent="0.3">
      <c r="B426" s="202"/>
      <c r="C426" s="202"/>
      <c r="D426" s="210"/>
      <c r="E426" s="210"/>
      <c r="F426" s="210"/>
      <c r="G426" s="211"/>
      <c r="H426" s="214"/>
      <c r="I426" s="207"/>
      <c r="J426" s="208"/>
      <c r="K426" s="209"/>
      <c r="M426" s="111"/>
      <c r="N426" t="str">
        <f t="shared" si="16"/>
        <v/>
      </c>
      <c r="O426" s="5" t="str">
        <f t="shared" si="17"/>
        <v/>
      </c>
    </row>
    <row r="427" spans="2:15" x14ac:dyDescent="0.3">
      <c r="B427" s="202"/>
      <c r="C427" s="202"/>
      <c r="D427" s="210"/>
      <c r="E427" s="210"/>
      <c r="F427" s="210"/>
      <c r="G427" s="211"/>
      <c r="H427" s="214"/>
      <c r="I427" s="207"/>
      <c r="J427" s="208"/>
      <c r="K427" s="209"/>
      <c r="M427" s="111"/>
      <c r="N427" t="str">
        <f t="shared" si="16"/>
        <v/>
      </c>
      <c r="O427" s="5" t="str">
        <f t="shared" si="17"/>
        <v/>
      </c>
    </row>
    <row r="428" spans="2:15" x14ac:dyDescent="0.3">
      <c r="B428" s="202"/>
      <c r="C428" s="202"/>
      <c r="D428" s="210"/>
      <c r="E428" s="210"/>
      <c r="F428" s="210"/>
      <c r="G428" s="211"/>
      <c r="H428" s="214"/>
      <c r="I428" s="207"/>
      <c r="J428" s="208"/>
      <c r="K428" s="209"/>
      <c r="M428" s="111"/>
      <c r="N428" t="str">
        <f t="shared" si="16"/>
        <v/>
      </c>
      <c r="O428" s="5" t="str">
        <f t="shared" si="17"/>
        <v/>
      </c>
    </row>
    <row r="429" spans="2:15" x14ac:dyDescent="0.3">
      <c r="B429" s="202"/>
      <c r="C429" s="202"/>
      <c r="D429" s="210"/>
      <c r="E429" s="210"/>
      <c r="F429" s="210"/>
      <c r="G429" s="211"/>
      <c r="H429" s="214"/>
      <c r="I429" s="207"/>
      <c r="J429" s="208"/>
      <c r="K429" s="209"/>
      <c r="M429" s="111"/>
      <c r="N429" t="str">
        <f t="shared" si="16"/>
        <v/>
      </c>
      <c r="O429" s="5" t="str">
        <f t="shared" si="17"/>
        <v/>
      </c>
    </row>
    <row r="430" spans="2:15" x14ac:dyDescent="0.3">
      <c r="B430" s="202"/>
      <c r="C430" s="202"/>
      <c r="D430" s="210"/>
      <c r="E430" s="210"/>
      <c r="F430" s="210"/>
      <c r="G430" s="211"/>
      <c r="H430" s="214"/>
      <c r="I430" s="207"/>
      <c r="J430" s="208"/>
      <c r="K430" s="209"/>
      <c r="M430" s="111"/>
      <c r="N430" t="str">
        <f t="shared" si="16"/>
        <v/>
      </c>
      <c r="O430" s="5" t="str">
        <f t="shared" si="17"/>
        <v/>
      </c>
    </row>
    <row r="431" spans="2:15" x14ac:dyDescent="0.3">
      <c r="B431" s="202"/>
      <c r="C431" s="202"/>
      <c r="D431" s="210"/>
      <c r="E431" s="210"/>
      <c r="F431" s="210"/>
      <c r="G431" s="211"/>
      <c r="H431" s="214"/>
      <c r="I431" s="207"/>
      <c r="J431" s="208"/>
      <c r="K431" s="209"/>
      <c r="M431" s="111"/>
      <c r="N431" t="str">
        <f t="shared" si="16"/>
        <v/>
      </c>
      <c r="O431" s="5" t="str">
        <f t="shared" si="17"/>
        <v/>
      </c>
    </row>
    <row r="432" spans="2:15" x14ac:dyDescent="0.3">
      <c r="B432" s="202"/>
      <c r="C432" s="202"/>
      <c r="D432" s="210"/>
      <c r="E432" s="210"/>
      <c r="F432" s="210"/>
      <c r="G432" s="211"/>
      <c r="H432" s="214"/>
      <c r="I432" s="207"/>
      <c r="J432" s="208"/>
      <c r="K432" s="209"/>
      <c r="M432" s="111"/>
      <c r="N432" t="str">
        <f t="shared" si="16"/>
        <v/>
      </c>
      <c r="O432" s="5" t="str">
        <f t="shared" si="17"/>
        <v/>
      </c>
    </row>
    <row r="433" spans="2:15" x14ac:dyDescent="0.3">
      <c r="B433" s="202"/>
      <c r="C433" s="202"/>
      <c r="D433" s="210"/>
      <c r="E433" s="210"/>
      <c r="F433" s="210"/>
      <c r="G433" s="211"/>
      <c r="H433" s="214"/>
      <c r="I433" s="207"/>
      <c r="J433" s="208"/>
      <c r="K433" s="209"/>
      <c r="M433" s="111"/>
      <c r="N433" t="str">
        <f t="shared" si="16"/>
        <v/>
      </c>
      <c r="O433" s="5" t="str">
        <f t="shared" si="17"/>
        <v/>
      </c>
    </row>
    <row r="434" spans="2:15" x14ac:dyDescent="0.3">
      <c r="B434" s="202"/>
      <c r="C434" s="202"/>
      <c r="D434" s="210"/>
      <c r="E434" s="210"/>
      <c r="F434" s="210"/>
      <c r="G434" s="211"/>
      <c r="H434" s="214"/>
      <c r="I434" s="207"/>
      <c r="J434" s="208"/>
      <c r="K434" s="209"/>
      <c r="M434" s="111"/>
      <c r="N434" t="str">
        <f t="shared" si="16"/>
        <v/>
      </c>
      <c r="O434" s="5" t="str">
        <f t="shared" si="17"/>
        <v/>
      </c>
    </row>
    <row r="435" spans="2:15" x14ac:dyDescent="0.3">
      <c r="B435" s="202"/>
      <c r="C435" s="202"/>
      <c r="D435" s="210"/>
      <c r="E435" s="210"/>
      <c r="F435" s="210"/>
      <c r="G435" s="211"/>
      <c r="H435" s="214"/>
      <c r="I435" s="207"/>
      <c r="J435" s="208"/>
      <c r="K435" s="209"/>
      <c r="M435" s="111"/>
      <c r="N435" t="str">
        <f t="shared" si="16"/>
        <v/>
      </c>
      <c r="O435" s="5" t="str">
        <f t="shared" si="17"/>
        <v/>
      </c>
    </row>
    <row r="436" spans="2:15" x14ac:dyDescent="0.3">
      <c r="B436" s="202"/>
      <c r="C436" s="202"/>
      <c r="D436" s="210"/>
      <c r="E436" s="210"/>
      <c r="F436" s="210"/>
      <c r="G436" s="211"/>
      <c r="H436" s="214"/>
      <c r="I436" s="207"/>
      <c r="J436" s="208"/>
      <c r="K436" s="209"/>
      <c r="M436" s="111"/>
      <c r="N436" t="str">
        <f t="shared" si="16"/>
        <v/>
      </c>
      <c r="O436" s="5" t="str">
        <f t="shared" si="17"/>
        <v/>
      </c>
    </row>
    <row r="437" spans="2:15" x14ac:dyDescent="0.3">
      <c r="B437" s="202"/>
      <c r="C437" s="202"/>
      <c r="D437" s="210"/>
      <c r="E437" s="210"/>
      <c r="F437" s="210"/>
      <c r="G437" s="211"/>
      <c r="H437" s="214"/>
      <c r="I437" s="207"/>
      <c r="J437" s="208"/>
      <c r="K437" s="209"/>
      <c r="M437" s="111"/>
      <c r="N437" t="str">
        <f t="shared" si="16"/>
        <v/>
      </c>
      <c r="O437" s="5" t="str">
        <f t="shared" si="17"/>
        <v/>
      </c>
    </row>
    <row r="438" spans="2:15" x14ac:dyDescent="0.3">
      <c r="B438" s="202"/>
      <c r="C438" s="202"/>
      <c r="D438" s="210"/>
      <c r="E438" s="210"/>
      <c r="F438" s="210"/>
      <c r="G438" s="211"/>
      <c r="H438" s="214"/>
      <c r="I438" s="207"/>
      <c r="J438" s="208"/>
      <c r="K438" s="209"/>
      <c r="M438" s="111"/>
      <c r="N438" t="str">
        <f t="shared" si="16"/>
        <v/>
      </c>
      <c r="O438" s="5" t="str">
        <f t="shared" si="17"/>
        <v/>
      </c>
    </row>
    <row r="439" spans="2:15" x14ac:dyDescent="0.3">
      <c r="B439" s="202"/>
      <c r="C439" s="202"/>
      <c r="D439" s="210"/>
      <c r="E439" s="210"/>
      <c r="F439" s="210"/>
      <c r="G439" s="211"/>
      <c r="H439" s="214"/>
      <c r="I439" s="207"/>
      <c r="J439" s="208"/>
      <c r="K439" s="209"/>
      <c r="M439" s="111"/>
      <c r="N439" t="str">
        <f t="shared" si="16"/>
        <v/>
      </c>
      <c r="O439" s="5" t="str">
        <f t="shared" si="17"/>
        <v/>
      </c>
    </row>
    <row r="440" spans="2:15" x14ac:dyDescent="0.3">
      <c r="B440" s="202"/>
      <c r="C440" s="202"/>
      <c r="D440" s="210"/>
      <c r="E440" s="210"/>
      <c r="F440" s="210"/>
      <c r="G440" s="211"/>
      <c r="H440" s="214"/>
      <c r="I440" s="207"/>
      <c r="J440" s="208"/>
      <c r="K440" s="209"/>
      <c r="M440" s="111"/>
      <c r="N440" t="str">
        <f t="shared" si="16"/>
        <v/>
      </c>
      <c r="O440" s="5" t="str">
        <f t="shared" si="17"/>
        <v/>
      </c>
    </row>
    <row r="441" spans="2:15" x14ac:dyDescent="0.3">
      <c r="B441" s="202"/>
      <c r="C441" s="202"/>
      <c r="D441" s="210"/>
      <c r="E441" s="210"/>
      <c r="F441" s="210"/>
      <c r="G441" s="211"/>
      <c r="H441" s="214"/>
      <c r="I441" s="207"/>
      <c r="J441" s="208"/>
      <c r="K441" s="209"/>
      <c r="M441" s="111"/>
      <c r="N441" t="str">
        <f t="shared" si="16"/>
        <v/>
      </c>
      <c r="O441" s="5" t="str">
        <f t="shared" si="17"/>
        <v/>
      </c>
    </row>
    <row r="442" spans="2:15" x14ac:dyDescent="0.3">
      <c r="B442" s="202"/>
      <c r="C442" s="202"/>
      <c r="D442" s="210"/>
      <c r="E442" s="210"/>
      <c r="F442" s="210"/>
      <c r="G442" s="211"/>
      <c r="H442" s="214"/>
      <c r="I442" s="207"/>
      <c r="J442" s="208"/>
      <c r="K442" s="209"/>
      <c r="M442" s="111"/>
      <c r="N442" t="str">
        <f t="shared" si="16"/>
        <v/>
      </c>
      <c r="O442" s="5" t="str">
        <f t="shared" si="17"/>
        <v/>
      </c>
    </row>
    <row r="443" spans="2:15" x14ac:dyDescent="0.3">
      <c r="B443" s="202"/>
      <c r="C443" s="202"/>
      <c r="D443" s="210"/>
      <c r="E443" s="210"/>
      <c r="F443" s="210"/>
      <c r="G443" s="211"/>
      <c r="H443" s="214"/>
      <c r="I443" s="207"/>
      <c r="J443" s="208"/>
      <c r="K443" s="209"/>
      <c r="M443" s="111"/>
      <c r="N443" t="str">
        <f t="shared" si="16"/>
        <v/>
      </c>
      <c r="O443" s="5" t="str">
        <f t="shared" si="17"/>
        <v/>
      </c>
    </row>
    <row r="444" spans="2:15" x14ac:dyDescent="0.3">
      <c r="B444" s="202"/>
      <c r="C444" s="202"/>
      <c r="D444" s="210"/>
      <c r="E444" s="210"/>
      <c r="F444" s="210"/>
      <c r="G444" s="211"/>
      <c r="H444" s="214"/>
      <c r="I444" s="207"/>
      <c r="J444" s="208"/>
      <c r="K444" s="209"/>
      <c r="M444" s="111"/>
      <c r="N444" t="str">
        <f t="shared" si="16"/>
        <v/>
      </c>
      <c r="O444" s="5" t="str">
        <f t="shared" si="17"/>
        <v/>
      </c>
    </row>
    <row r="445" spans="2:15" x14ac:dyDescent="0.3">
      <c r="B445" s="202"/>
      <c r="C445" s="202"/>
      <c r="D445" s="210"/>
      <c r="E445" s="210"/>
      <c r="F445" s="210"/>
      <c r="G445" s="211"/>
      <c r="H445" s="214"/>
      <c r="I445" s="207"/>
      <c r="J445" s="208"/>
      <c r="K445" s="209"/>
      <c r="M445" s="111"/>
      <c r="N445" t="str">
        <f t="shared" si="16"/>
        <v/>
      </c>
      <c r="O445" s="5" t="str">
        <f t="shared" si="17"/>
        <v/>
      </c>
    </row>
    <row r="446" spans="2:15" x14ac:dyDescent="0.3">
      <c r="B446" s="202"/>
      <c r="C446" s="202"/>
      <c r="D446" s="210"/>
      <c r="E446" s="210"/>
      <c r="F446" s="210"/>
      <c r="G446" s="211"/>
      <c r="H446" s="214"/>
      <c r="I446" s="207"/>
      <c r="J446" s="208"/>
      <c r="K446" s="209"/>
      <c r="M446" s="111"/>
      <c r="N446" t="str">
        <f t="shared" si="16"/>
        <v/>
      </c>
      <c r="O446" s="5" t="str">
        <f t="shared" si="17"/>
        <v/>
      </c>
    </row>
    <row r="447" spans="2:15" x14ac:dyDescent="0.3">
      <c r="B447" s="202"/>
      <c r="C447" s="202"/>
      <c r="D447" s="210"/>
      <c r="E447" s="210"/>
      <c r="F447" s="210"/>
      <c r="G447" s="211"/>
      <c r="H447" s="214"/>
      <c r="I447" s="207"/>
      <c r="J447" s="208"/>
      <c r="K447" s="209"/>
      <c r="M447" s="111"/>
      <c r="N447" t="str">
        <f t="shared" si="16"/>
        <v/>
      </c>
      <c r="O447" s="5" t="str">
        <f t="shared" si="17"/>
        <v/>
      </c>
    </row>
    <row r="448" spans="2:15" x14ac:dyDescent="0.3">
      <c r="B448" s="202"/>
      <c r="C448" s="202"/>
      <c r="D448" s="210"/>
      <c r="E448" s="210"/>
      <c r="F448" s="210"/>
      <c r="G448" s="211"/>
      <c r="H448" s="214"/>
      <c r="I448" s="207"/>
      <c r="J448" s="208"/>
      <c r="K448" s="209"/>
      <c r="M448" s="111"/>
      <c r="N448" t="str">
        <f t="shared" si="16"/>
        <v/>
      </c>
      <c r="O448" s="5" t="str">
        <f t="shared" si="17"/>
        <v/>
      </c>
    </row>
    <row r="449" spans="2:15" x14ac:dyDescent="0.3">
      <c r="B449" s="202"/>
      <c r="C449" s="202"/>
      <c r="D449" s="210"/>
      <c r="E449" s="210"/>
      <c r="F449" s="210"/>
      <c r="G449" s="211"/>
      <c r="H449" s="214"/>
      <c r="I449" s="207"/>
      <c r="J449" s="208"/>
      <c r="K449" s="209"/>
      <c r="M449" s="111"/>
      <c r="N449" t="str">
        <f t="shared" si="16"/>
        <v/>
      </c>
      <c r="O449" s="5" t="str">
        <f t="shared" si="17"/>
        <v/>
      </c>
    </row>
    <row r="450" spans="2:15" x14ac:dyDescent="0.3">
      <c r="B450" s="202"/>
      <c r="C450" s="202"/>
      <c r="D450" s="210"/>
      <c r="E450" s="210"/>
      <c r="F450" s="210"/>
      <c r="G450" s="211"/>
      <c r="H450" s="214"/>
      <c r="I450" s="207"/>
      <c r="J450" s="208"/>
      <c r="K450" s="209"/>
      <c r="M450" s="111"/>
      <c r="N450" t="str">
        <f t="shared" si="16"/>
        <v/>
      </c>
      <c r="O450" s="5" t="str">
        <f t="shared" si="17"/>
        <v/>
      </c>
    </row>
    <row r="451" spans="2:15" x14ac:dyDescent="0.3">
      <c r="B451" s="202"/>
      <c r="C451" s="202"/>
      <c r="D451" s="210"/>
      <c r="E451" s="210"/>
      <c r="F451" s="210"/>
      <c r="G451" s="211"/>
      <c r="H451" s="214"/>
      <c r="I451" s="207"/>
      <c r="J451" s="208"/>
      <c r="K451" s="209"/>
      <c r="M451" s="111"/>
      <c r="N451" t="str">
        <f t="shared" si="16"/>
        <v/>
      </c>
      <c r="O451" s="5" t="str">
        <f t="shared" si="17"/>
        <v/>
      </c>
    </row>
    <row r="452" spans="2:15" x14ac:dyDescent="0.3">
      <c r="B452" s="202"/>
      <c r="C452" s="202"/>
      <c r="D452" s="210"/>
      <c r="E452" s="210"/>
      <c r="F452" s="210"/>
      <c r="G452" s="211"/>
      <c r="H452" s="214"/>
      <c r="I452" s="207"/>
      <c r="J452" s="208"/>
      <c r="K452" s="209"/>
      <c r="M452" s="111"/>
      <c r="N452" t="str">
        <f t="shared" si="16"/>
        <v/>
      </c>
      <c r="O452" s="5" t="str">
        <f t="shared" si="17"/>
        <v/>
      </c>
    </row>
    <row r="453" spans="2:15" x14ac:dyDescent="0.3">
      <c r="B453" s="202"/>
      <c r="C453" s="202"/>
      <c r="D453" s="210"/>
      <c r="E453" s="210"/>
      <c r="F453" s="210"/>
      <c r="G453" s="211"/>
      <c r="H453" s="214"/>
      <c r="I453" s="207"/>
      <c r="J453" s="208"/>
      <c r="K453" s="209"/>
      <c r="M453" s="111"/>
      <c r="N453" t="str">
        <f t="shared" si="16"/>
        <v/>
      </c>
      <c r="O453" s="5" t="str">
        <f t="shared" si="17"/>
        <v/>
      </c>
    </row>
    <row r="454" spans="2:15" x14ac:dyDescent="0.3">
      <c r="B454" s="202"/>
      <c r="C454" s="202"/>
      <c r="D454" s="210"/>
      <c r="E454" s="210"/>
      <c r="F454" s="210"/>
      <c r="G454" s="211"/>
      <c r="H454" s="214"/>
      <c r="I454" s="207"/>
      <c r="J454" s="208"/>
      <c r="K454" s="209"/>
      <c r="M454" s="111"/>
      <c r="N454" t="str">
        <f t="shared" si="16"/>
        <v/>
      </c>
      <c r="O454" s="5" t="str">
        <f t="shared" si="17"/>
        <v/>
      </c>
    </row>
    <row r="455" spans="2:15" x14ac:dyDescent="0.3">
      <c r="B455" s="202"/>
      <c r="C455" s="202"/>
      <c r="D455" s="210"/>
      <c r="E455" s="210"/>
      <c r="F455" s="210"/>
      <c r="G455" s="211"/>
      <c r="H455" s="214"/>
      <c r="I455" s="207"/>
      <c r="J455" s="208"/>
      <c r="K455" s="209"/>
      <c r="M455" s="111"/>
      <c r="N455" t="str">
        <f t="shared" ref="N455:N500" si="18">IFERROR(IF($B455="","",MONTH($B$6:$B$500)),0)</f>
        <v/>
      </c>
      <c r="O455" s="5" t="str">
        <f t="shared" ref="O455:O500" si="19">IFERROR(IF($B455="","",YEAR($B$6:$B$500)),0)</f>
        <v/>
      </c>
    </row>
    <row r="456" spans="2:15" x14ac:dyDescent="0.3">
      <c r="B456" s="202"/>
      <c r="C456" s="202"/>
      <c r="D456" s="210"/>
      <c r="E456" s="210"/>
      <c r="F456" s="210"/>
      <c r="G456" s="211"/>
      <c r="H456" s="214"/>
      <c r="I456" s="207"/>
      <c r="J456" s="208"/>
      <c r="K456" s="209"/>
      <c r="M456" s="111"/>
      <c r="N456" t="str">
        <f t="shared" si="18"/>
        <v/>
      </c>
      <c r="O456" s="5" t="str">
        <f t="shared" si="19"/>
        <v/>
      </c>
    </row>
    <row r="457" spans="2:15" x14ac:dyDescent="0.3">
      <c r="B457" s="202"/>
      <c r="C457" s="202"/>
      <c r="D457" s="210"/>
      <c r="E457" s="210"/>
      <c r="F457" s="210"/>
      <c r="G457" s="211"/>
      <c r="H457" s="214"/>
      <c r="I457" s="207"/>
      <c r="J457" s="208"/>
      <c r="K457" s="209"/>
      <c r="M457" s="111"/>
      <c r="N457" t="str">
        <f t="shared" si="18"/>
        <v/>
      </c>
      <c r="O457" s="5" t="str">
        <f t="shared" si="19"/>
        <v/>
      </c>
    </row>
    <row r="458" spans="2:15" x14ac:dyDescent="0.3">
      <c r="B458" s="202"/>
      <c r="C458" s="202"/>
      <c r="D458" s="210"/>
      <c r="E458" s="210"/>
      <c r="F458" s="210"/>
      <c r="G458" s="211"/>
      <c r="H458" s="214"/>
      <c r="I458" s="207"/>
      <c r="J458" s="208"/>
      <c r="K458" s="209"/>
      <c r="M458" s="111"/>
      <c r="N458" t="str">
        <f t="shared" si="18"/>
        <v/>
      </c>
      <c r="O458" s="5" t="str">
        <f t="shared" si="19"/>
        <v/>
      </c>
    </row>
    <row r="459" spans="2:15" x14ac:dyDescent="0.3">
      <c r="B459" s="202"/>
      <c r="C459" s="202"/>
      <c r="D459" s="210"/>
      <c r="E459" s="210"/>
      <c r="F459" s="210"/>
      <c r="G459" s="211"/>
      <c r="H459" s="214"/>
      <c r="I459" s="207"/>
      <c r="J459" s="208"/>
      <c r="K459" s="209"/>
      <c r="M459" s="111"/>
      <c r="N459" t="str">
        <f t="shared" si="18"/>
        <v/>
      </c>
      <c r="O459" s="5" t="str">
        <f t="shared" si="19"/>
        <v/>
      </c>
    </row>
    <row r="460" spans="2:15" x14ac:dyDescent="0.3">
      <c r="B460" s="202"/>
      <c r="C460" s="202"/>
      <c r="D460" s="210"/>
      <c r="E460" s="210"/>
      <c r="F460" s="210"/>
      <c r="G460" s="211"/>
      <c r="H460" s="214"/>
      <c r="I460" s="207"/>
      <c r="J460" s="208"/>
      <c r="K460" s="209"/>
      <c r="M460" s="111"/>
      <c r="N460" t="str">
        <f t="shared" si="18"/>
        <v/>
      </c>
      <c r="O460" s="5" t="str">
        <f t="shared" si="19"/>
        <v/>
      </c>
    </row>
    <row r="461" spans="2:15" x14ac:dyDescent="0.3">
      <c r="B461" s="202"/>
      <c r="C461" s="202"/>
      <c r="D461" s="210"/>
      <c r="E461" s="210"/>
      <c r="F461" s="210"/>
      <c r="G461" s="211"/>
      <c r="H461" s="214"/>
      <c r="I461" s="207"/>
      <c r="J461" s="208"/>
      <c r="K461" s="209"/>
      <c r="M461" s="111"/>
      <c r="N461" t="str">
        <f t="shared" si="18"/>
        <v/>
      </c>
      <c r="O461" s="5" t="str">
        <f t="shared" si="19"/>
        <v/>
      </c>
    </row>
    <row r="462" spans="2:15" x14ac:dyDescent="0.3">
      <c r="B462" s="202"/>
      <c r="C462" s="202"/>
      <c r="D462" s="210"/>
      <c r="E462" s="210"/>
      <c r="F462" s="210"/>
      <c r="G462" s="211"/>
      <c r="H462" s="214"/>
      <c r="I462" s="207"/>
      <c r="J462" s="208"/>
      <c r="K462" s="209"/>
      <c r="M462" s="111"/>
      <c r="N462" t="str">
        <f t="shared" si="18"/>
        <v/>
      </c>
      <c r="O462" s="5" t="str">
        <f t="shared" si="19"/>
        <v/>
      </c>
    </row>
    <row r="463" spans="2:15" x14ac:dyDescent="0.3">
      <c r="B463" s="202"/>
      <c r="C463" s="202"/>
      <c r="D463" s="210"/>
      <c r="E463" s="210"/>
      <c r="F463" s="210"/>
      <c r="G463" s="211"/>
      <c r="H463" s="214"/>
      <c r="I463" s="207"/>
      <c r="J463" s="208"/>
      <c r="K463" s="209"/>
      <c r="M463" s="111"/>
      <c r="N463" t="str">
        <f t="shared" si="18"/>
        <v/>
      </c>
      <c r="O463" s="5" t="str">
        <f t="shared" si="19"/>
        <v/>
      </c>
    </row>
    <row r="464" spans="2:15" x14ac:dyDescent="0.3">
      <c r="B464" s="202"/>
      <c r="C464" s="202"/>
      <c r="D464" s="210"/>
      <c r="E464" s="210"/>
      <c r="F464" s="210"/>
      <c r="G464" s="211"/>
      <c r="H464" s="214"/>
      <c r="I464" s="207"/>
      <c r="J464" s="208"/>
      <c r="K464" s="209"/>
      <c r="M464" s="111"/>
      <c r="N464" t="str">
        <f t="shared" si="18"/>
        <v/>
      </c>
      <c r="O464" s="5" t="str">
        <f t="shared" si="19"/>
        <v/>
      </c>
    </row>
    <row r="465" spans="2:15" x14ac:dyDescent="0.3">
      <c r="B465" s="202"/>
      <c r="C465" s="202"/>
      <c r="D465" s="210"/>
      <c r="E465" s="210"/>
      <c r="F465" s="210"/>
      <c r="G465" s="211"/>
      <c r="H465" s="214"/>
      <c r="I465" s="207"/>
      <c r="J465" s="208"/>
      <c r="K465" s="209"/>
      <c r="M465" s="111"/>
      <c r="N465" t="str">
        <f t="shared" si="18"/>
        <v/>
      </c>
      <c r="O465" s="5" t="str">
        <f t="shared" si="19"/>
        <v/>
      </c>
    </row>
    <row r="466" spans="2:15" x14ac:dyDescent="0.3">
      <c r="B466" s="202"/>
      <c r="C466" s="202"/>
      <c r="D466" s="210"/>
      <c r="E466" s="210"/>
      <c r="F466" s="210"/>
      <c r="G466" s="211"/>
      <c r="H466" s="214"/>
      <c r="I466" s="207"/>
      <c r="J466" s="208"/>
      <c r="K466" s="209"/>
      <c r="M466" s="111"/>
      <c r="N466" t="str">
        <f t="shared" si="18"/>
        <v/>
      </c>
      <c r="O466" s="5" t="str">
        <f t="shared" si="19"/>
        <v/>
      </c>
    </row>
    <row r="467" spans="2:15" x14ac:dyDescent="0.3">
      <c r="B467" s="202"/>
      <c r="C467" s="202"/>
      <c r="D467" s="210"/>
      <c r="E467" s="210"/>
      <c r="F467" s="210"/>
      <c r="G467" s="211"/>
      <c r="H467" s="214"/>
      <c r="I467" s="207"/>
      <c r="J467" s="208"/>
      <c r="K467" s="209"/>
      <c r="M467" s="111"/>
      <c r="N467" t="str">
        <f t="shared" si="18"/>
        <v/>
      </c>
      <c r="O467" s="5" t="str">
        <f t="shared" si="19"/>
        <v/>
      </c>
    </row>
    <row r="468" spans="2:15" x14ac:dyDescent="0.3">
      <c r="B468" s="202"/>
      <c r="C468" s="202"/>
      <c r="D468" s="210"/>
      <c r="E468" s="210"/>
      <c r="F468" s="210"/>
      <c r="G468" s="211"/>
      <c r="H468" s="214"/>
      <c r="I468" s="207"/>
      <c r="J468" s="208"/>
      <c r="K468" s="209"/>
      <c r="M468" s="111"/>
      <c r="N468" t="str">
        <f t="shared" si="18"/>
        <v/>
      </c>
      <c r="O468" s="5" t="str">
        <f t="shared" si="19"/>
        <v/>
      </c>
    </row>
    <row r="469" spans="2:15" x14ac:dyDescent="0.3">
      <c r="B469" s="202"/>
      <c r="C469" s="202"/>
      <c r="D469" s="210"/>
      <c r="E469" s="210"/>
      <c r="F469" s="210"/>
      <c r="G469" s="211"/>
      <c r="H469" s="214"/>
      <c r="I469" s="207"/>
      <c r="J469" s="208"/>
      <c r="K469" s="209"/>
      <c r="M469" s="111"/>
      <c r="N469" t="str">
        <f t="shared" si="18"/>
        <v/>
      </c>
      <c r="O469" s="5" t="str">
        <f t="shared" si="19"/>
        <v/>
      </c>
    </row>
    <row r="470" spans="2:15" x14ac:dyDescent="0.3">
      <c r="B470" s="202"/>
      <c r="C470" s="202"/>
      <c r="D470" s="210"/>
      <c r="E470" s="210"/>
      <c r="F470" s="210"/>
      <c r="G470" s="211"/>
      <c r="H470" s="214"/>
      <c r="I470" s="207"/>
      <c r="J470" s="208"/>
      <c r="K470" s="209"/>
      <c r="M470" s="111"/>
      <c r="N470" t="str">
        <f t="shared" si="18"/>
        <v/>
      </c>
      <c r="O470" s="5" t="str">
        <f t="shared" si="19"/>
        <v/>
      </c>
    </row>
    <row r="471" spans="2:15" x14ac:dyDescent="0.3">
      <c r="B471" s="202"/>
      <c r="C471" s="202"/>
      <c r="D471" s="210"/>
      <c r="E471" s="210"/>
      <c r="F471" s="210"/>
      <c r="G471" s="211"/>
      <c r="H471" s="214"/>
      <c r="I471" s="207"/>
      <c r="J471" s="208"/>
      <c r="K471" s="209"/>
      <c r="M471" s="111"/>
      <c r="N471" t="str">
        <f t="shared" si="18"/>
        <v/>
      </c>
      <c r="O471" s="5" t="str">
        <f t="shared" si="19"/>
        <v/>
      </c>
    </row>
    <row r="472" spans="2:15" x14ac:dyDescent="0.3">
      <c r="B472" s="202"/>
      <c r="C472" s="202"/>
      <c r="D472" s="210"/>
      <c r="E472" s="210"/>
      <c r="F472" s="210"/>
      <c r="G472" s="211"/>
      <c r="H472" s="214"/>
      <c r="I472" s="207"/>
      <c r="J472" s="208"/>
      <c r="K472" s="209"/>
      <c r="M472" s="111"/>
      <c r="N472" t="str">
        <f t="shared" si="18"/>
        <v/>
      </c>
      <c r="O472" s="5" t="str">
        <f t="shared" si="19"/>
        <v/>
      </c>
    </row>
    <row r="473" spans="2:15" x14ac:dyDescent="0.3">
      <c r="B473" s="202"/>
      <c r="C473" s="202"/>
      <c r="D473" s="210"/>
      <c r="E473" s="210"/>
      <c r="F473" s="210"/>
      <c r="G473" s="211"/>
      <c r="H473" s="214"/>
      <c r="I473" s="207"/>
      <c r="J473" s="208"/>
      <c r="K473" s="209"/>
      <c r="M473" s="111"/>
      <c r="N473" t="str">
        <f t="shared" si="18"/>
        <v/>
      </c>
      <c r="O473" s="5" t="str">
        <f t="shared" si="19"/>
        <v/>
      </c>
    </row>
    <row r="474" spans="2:15" x14ac:dyDescent="0.3">
      <c r="B474" s="202"/>
      <c r="C474" s="202"/>
      <c r="D474" s="210"/>
      <c r="E474" s="210"/>
      <c r="F474" s="210"/>
      <c r="G474" s="211"/>
      <c r="H474" s="214"/>
      <c r="I474" s="207"/>
      <c r="J474" s="208"/>
      <c r="K474" s="209"/>
      <c r="M474" s="111"/>
      <c r="N474" t="str">
        <f t="shared" si="18"/>
        <v/>
      </c>
      <c r="O474" s="5" t="str">
        <f t="shared" si="19"/>
        <v/>
      </c>
    </row>
    <row r="475" spans="2:15" x14ac:dyDescent="0.3">
      <c r="B475" s="202"/>
      <c r="C475" s="202"/>
      <c r="D475" s="210"/>
      <c r="E475" s="210"/>
      <c r="F475" s="210"/>
      <c r="G475" s="211"/>
      <c r="H475" s="214"/>
      <c r="I475" s="207"/>
      <c r="J475" s="208"/>
      <c r="K475" s="209"/>
      <c r="M475" s="111"/>
      <c r="N475" t="str">
        <f t="shared" si="18"/>
        <v/>
      </c>
      <c r="O475" s="5" t="str">
        <f t="shared" si="19"/>
        <v/>
      </c>
    </row>
    <row r="476" spans="2:15" x14ac:dyDescent="0.3">
      <c r="B476" s="202"/>
      <c r="C476" s="202"/>
      <c r="D476" s="210"/>
      <c r="E476" s="210"/>
      <c r="F476" s="210"/>
      <c r="G476" s="211"/>
      <c r="H476" s="214"/>
      <c r="I476" s="207"/>
      <c r="J476" s="208"/>
      <c r="K476" s="209"/>
      <c r="M476" s="111"/>
      <c r="N476" t="str">
        <f t="shared" si="18"/>
        <v/>
      </c>
      <c r="O476" s="5" t="str">
        <f>IFERROR(IF($B476="","",YEAR($B$6:$B$500)),0)</f>
        <v/>
      </c>
    </row>
    <row r="477" spans="2:15" x14ac:dyDescent="0.3">
      <c r="B477" s="202"/>
      <c r="C477" s="202"/>
      <c r="D477" s="210"/>
      <c r="E477" s="210"/>
      <c r="F477" s="210"/>
      <c r="G477" s="211"/>
      <c r="H477" s="214"/>
      <c r="I477" s="207"/>
      <c r="J477" s="208"/>
      <c r="K477" s="209"/>
      <c r="M477" s="111"/>
      <c r="N477" t="str">
        <f t="shared" si="18"/>
        <v/>
      </c>
      <c r="O477" s="5" t="str">
        <f t="shared" si="19"/>
        <v/>
      </c>
    </row>
    <row r="478" spans="2:15" x14ac:dyDescent="0.3">
      <c r="B478" s="202"/>
      <c r="C478" s="202"/>
      <c r="D478" s="210"/>
      <c r="E478" s="210"/>
      <c r="F478" s="210"/>
      <c r="G478" s="211"/>
      <c r="H478" s="214"/>
      <c r="I478" s="207"/>
      <c r="J478" s="208"/>
      <c r="K478" s="209"/>
      <c r="M478" s="111"/>
      <c r="N478" t="str">
        <f t="shared" si="18"/>
        <v/>
      </c>
      <c r="O478" s="5" t="str">
        <f t="shared" si="19"/>
        <v/>
      </c>
    </row>
    <row r="479" spans="2:15" x14ac:dyDescent="0.3">
      <c r="B479" s="202"/>
      <c r="C479" s="202"/>
      <c r="D479" s="210"/>
      <c r="E479" s="210"/>
      <c r="F479" s="210"/>
      <c r="G479" s="211"/>
      <c r="H479" s="214"/>
      <c r="I479" s="207"/>
      <c r="J479" s="208"/>
      <c r="K479" s="209"/>
      <c r="M479" s="111"/>
      <c r="N479" t="str">
        <f t="shared" si="18"/>
        <v/>
      </c>
      <c r="O479" s="5" t="str">
        <f t="shared" si="19"/>
        <v/>
      </c>
    </row>
    <row r="480" spans="2:15" x14ac:dyDescent="0.3">
      <c r="B480" s="202"/>
      <c r="C480" s="202"/>
      <c r="D480" s="210"/>
      <c r="E480" s="210"/>
      <c r="F480" s="210"/>
      <c r="G480" s="211"/>
      <c r="H480" s="214"/>
      <c r="I480" s="207"/>
      <c r="J480" s="208"/>
      <c r="K480" s="209"/>
      <c r="M480" s="111"/>
      <c r="N480" t="str">
        <f t="shared" si="18"/>
        <v/>
      </c>
      <c r="O480" s="5" t="str">
        <f t="shared" si="19"/>
        <v/>
      </c>
    </row>
    <row r="481" spans="2:15" x14ac:dyDescent="0.3">
      <c r="B481" s="202"/>
      <c r="C481" s="202"/>
      <c r="D481" s="210"/>
      <c r="E481" s="210"/>
      <c r="F481" s="210"/>
      <c r="G481" s="211"/>
      <c r="H481" s="214"/>
      <c r="I481" s="207"/>
      <c r="J481" s="208"/>
      <c r="K481" s="209"/>
      <c r="M481" s="111"/>
      <c r="N481" t="str">
        <f t="shared" si="18"/>
        <v/>
      </c>
      <c r="O481" s="5" t="str">
        <f t="shared" si="19"/>
        <v/>
      </c>
    </row>
    <row r="482" spans="2:15" x14ac:dyDescent="0.3">
      <c r="B482" s="202"/>
      <c r="C482" s="202"/>
      <c r="D482" s="210"/>
      <c r="E482" s="210"/>
      <c r="F482" s="210"/>
      <c r="G482" s="211"/>
      <c r="H482" s="214"/>
      <c r="I482" s="207"/>
      <c r="J482" s="208"/>
      <c r="K482" s="209"/>
      <c r="M482" s="111"/>
      <c r="N482" t="str">
        <f t="shared" si="18"/>
        <v/>
      </c>
      <c r="O482" s="5" t="str">
        <f t="shared" si="19"/>
        <v/>
      </c>
    </row>
    <row r="483" spans="2:15" x14ac:dyDescent="0.3">
      <c r="B483" s="202"/>
      <c r="C483" s="202"/>
      <c r="D483" s="210"/>
      <c r="E483" s="210"/>
      <c r="F483" s="210"/>
      <c r="G483" s="211"/>
      <c r="H483" s="214"/>
      <c r="I483" s="207"/>
      <c r="J483" s="208"/>
      <c r="K483" s="209"/>
      <c r="M483" s="111"/>
      <c r="N483" t="str">
        <f t="shared" si="18"/>
        <v/>
      </c>
      <c r="O483" s="5" t="str">
        <f t="shared" si="19"/>
        <v/>
      </c>
    </row>
    <row r="484" spans="2:15" x14ac:dyDescent="0.3">
      <c r="B484" s="202"/>
      <c r="C484" s="202"/>
      <c r="D484" s="210"/>
      <c r="E484" s="210"/>
      <c r="F484" s="210"/>
      <c r="G484" s="211"/>
      <c r="H484" s="214"/>
      <c r="I484" s="207"/>
      <c r="J484" s="208"/>
      <c r="K484" s="209"/>
      <c r="M484" s="111"/>
      <c r="N484" t="str">
        <f t="shared" si="18"/>
        <v/>
      </c>
      <c r="O484" s="5" t="str">
        <f t="shared" si="19"/>
        <v/>
      </c>
    </row>
    <row r="485" spans="2:15" x14ac:dyDescent="0.3">
      <c r="B485" s="202"/>
      <c r="C485" s="202"/>
      <c r="D485" s="210"/>
      <c r="E485" s="210"/>
      <c r="F485" s="210"/>
      <c r="G485" s="211"/>
      <c r="H485" s="214"/>
      <c r="I485" s="207"/>
      <c r="J485" s="208"/>
      <c r="K485" s="209"/>
      <c r="M485" s="111"/>
      <c r="N485" t="str">
        <f t="shared" si="18"/>
        <v/>
      </c>
      <c r="O485" s="5" t="str">
        <f t="shared" si="19"/>
        <v/>
      </c>
    </row>
    <row r="486" spans="2:15" x14ac:dyDescent="0.3">
      <c r="B486" s="202"/>
      <c r="C486" s="202"/>
      <c r="D486" s="210"/>
      <c r="E486" s="210"/>
      <c r="F486" s="210"/>
      <c r="G486" s="211"/>
      <c r="H486" s="214"/>
      <c r="I486" s="207"/>
      <c r="J486" s="208"/>
      <c r="K486" s="209"/>
      <c r="M486" s="111"/>
      <c r="N486" t="str">
        <f t="shared" si="18"/>
        <v/>
      </c>
      <c r="O486" s="5" t="str">
        <f t="shared" si="19"/>
        <v/>
      </c>
    </row>
    <row r="487" spans="2:15" x14ac:dyDescent="0.3">
      <c r="B487" s="202"/>
      <c r="C487" s="202"/>
      <c r="D487" s="210"/>
      <c r="E487" s="210"/>
      <c r="F487" s="210"/>
      <c r="G487" s="211"/>
      <c r="H487" s="214"/>
      <c r="I487" s="207"/>
      <c r="J487" s="208"/>
      <c r="K487" s="209"/>
      <c r="M487" s="111"/>
      <c r="N487" t="str">
        <f t="shared" si="18"/>
        <v/>
      </c>
      <c r="O487" s="5" t="str">
        <f t="shared" si="19"/>
        <v/>
      </c>
    </row>
    <row r="488" spans="2:15" x14ac:dyDescent="0.3">
      <c r="B488" s="202"/>
      <c r="C488" s="202"/>
      <c r="D488" s="210"/>
      <c r="E488" s="210"/>
      <c r="F488" s="210"/>
      <c r="G488" s="211"/>
      <c r="H488" s="214"/>
      <c r="I488" s="207"/>
      <c r="J488" s="208"/>
      <c r="K488" s="209"/>
      <c r="M488" s="111"/>
      <c r="N488" t="str">
        <f t="shared" si="18"/>
        <v/>
      </c>
      <c r="O488" s="5" t="str">
        <f t="shared" si="19"/>
        <v/>
      </c>
    </row>
    <row r="489" spans="2:15" x14ac:dyDescent="0.3">
      <c r="B489" s="202"/>
      <c r="C489" s="202"/>
      <c r="D489" s="210"/>
      <c r="E489" s="210"/>
      <c r="F489" s="210"/>
      <c r="G489" s="211"/>
      <c r="H489" s="214"/>
      <c r="I489" s="207"/>
      <c r="J489" s="208"/>
      <c r="K489" s="209"/>
      <c r="M489" s="111"/>
      <c r="N489" t="str">
        <f t="shared" si="18"/>
        <v/>
      </c>
      <c r="O489" s="5" t="str">
        <f t="shared" si="19"/>
        <v/>
      </c>
    </row>
    <row r="490" spans="2:15" x14ac:dyDescent="0.3">
      <c r="B490" s="202"/>
      <c r="C490" s="202"/>
      <c r="D490" s="210"/>
      <c r="E490" s="210"/>
      <c r="F490" s="210"/>
      <c r="G490" s="211"/>
      <c r="H490" s="214"/>
      <c r="I490" s="207"/>
      <c r="J490" s="208"/>
      <c r="K490" s="209"/>
      <c r="M490" s="111"/>
      <c r="N490" t="str">
        <f t="shared" si="18"/>
        <v/>
      </c>
      <c r="O490" s="5" t="str">
        <f t="shared" si="19"/>
        <v/>
      </c>
    </row>
    <row r="491" spans="2:15" x14ac:dyDescent="0.3">
      <c r="B491" s="202"/>
      <c r="C491" s="202"/>
      <c r="D491" s="210"/>
      <c r="E491" s="210"/>
      <c r="F491" s="210"/>
      <c r="G491" s="211"/>
      <c r="H491" s="214"/>
      <c r="I491" s="207"/>
      <c r="J491" s="208"/>
      <c r="K491" s="209"/>
      <c r="M491" s="111"/>
      <c r="N491" t="str">
        <f t="shared" si="18"/>
        <v/>
      </c>
      <c r="O491" s="5" t="str">
        <f t="shared" si="19"/>
        <v/>
      </c>
    </row>
    <row r="492" spans="2:15" x14ac:dyDescent="0.3">
      <c r="B492" s="202"/>
      <c r="C492" s="202"/>
      <c r="D492" s="210"/>
      <c r="E492" s="210"/>
      <c r="F492" s="210"/>
      <c r="G492" s="211"/>
      <c r="H492" s="214"/>
      <c r="I492" s="207"/>
      <c r="J492" s="208"/>
      <c r="K492" s="209"/>
      <c r="M492" s="111"/>
      <c r="N492" t="str">
        <f t="shared" si="18"/>
        <v/>
      </c>
      <c r="O492" s="5" t="str">
        <f t="shared" si="19"/>
        <v/>
      </c>
    </row>
    <row r="493" spans="2:15" x14ac:dyDescent="0.3">
      <c r="B493" s="202"/>
      <c r="C493" s="202"/>
      <c r="D493" s="210"/>
      <c r="E493" s="210"/>
      <c r="F493" s="210"/>
      <c r="G493" s="211"/>
      <c r="H493" s="214"/>
      <c r="I493" s="207"/>
      <c r="J493" s="208"/>
      <c r="K493" s="209"/>
      <c r="M493" s="111"/>
      <c r="N493" t="str">
        <f t="shared" si="18"/>
        <v/>
      </c>
      <c r="O493" s="5" t="str">
        <f t="shared" si="19"/>
        <v/>
      </c>
    </row>
    <row r="494" spans="2:15" x14ac:dyDescent="0.3">
      <c r="B494" s="202"/>
      <c r="C494" s="202"/>
      <c r="D494" s="203"/>
      <c r="E494" s="210"/>
      <c r="F494" s="210"/>
      <c r="G494" s="211"/>
      <c r="H494" s="206"/>
      <c r="I494" s="207"/>
      <c r="J494" s="208"/>
      <c r="K494" s="209"/>
      <c r="M494" s="111"/>
      <c r="N494" t="str">
        <f t="shared" si="18"/>
        <v/>
      </c>
      <c r="O494" s="5" t="str">
        <f t="shared" si="19"/>
        <v/>
      </c>
    </row>
    <row r="495" spans="2:15" x14ac:dyDescent="0.3">
      <c r="B495" s="202"/>
      <c r="C495" s="202"/>
      <c r="D495" s="210"/>
      <c r="E495" s="210"/>
      <c r="F495" s="210"/>
      <c r="G495" s="211"/>
      <c r="H495" s="214"/>
      <c r="I495" s="207"/>
      <c r="J495" s="208"/>
      <c r="K495" s="209"/>
      <c r="M495" s="111"/>
      <c r="N495" t="str">
        <f t="shared" si="18"/>
        <v/>
      </c>
      <c r="O495" s="5" t="str">
        <f t="shared" si="19"/>
        <v/>
      </c>
    </row>
    <row r="496" spans="2:15" x14ac:dyDescent="0.3">
      <c r="B496" s="202"/>
      <c r="C496" s="202"/>
      <c r="D496" s="210"/>
      <c r="E496" s="210"/>
      <c r="F496" s="210"/>
      <c r="G496" s="211"/>
      <c r="H496" s="214"/>
      <c r="I496" s="207"/>
      <c r="J496" s="208"/>
      <c r="K496" s="209"/>
      <c r="M496" s="111"/>
      <c r="N496" t="str">
        <f t="shared" si="18"/>
        <v/>
      </c>
      <c r="O496" s="5" t="str">
        <f t="shared" si="19"/>
        <v/>
      </c>
    </row>
    <row r="497" spans="2:15" x14ac:dyDescent="0.3">
      <c r="B497" s="202"/>
      <c r="C497" s="202"/>
      <c r="D497" s="210"/>
      <c r="E497" s="210"/>
      <c r="F497" s="210"/>
      <c r="G497" s="211"/>
      <c r="H497" s="214"/>
      <c r="I497" s="207"/>
      <c r="J497" s="208"/>
      <c r="K497" s="209"/>
      <c r="M497" s="111"/>
      <c r="N497" t="str">
        <f t="shared" si="18"/>
        <v/>
      </c>
      <c r="O497" s="5" t="str">
        <f t="shared" si="19"/>
        <v/>
      </c>
    </row>
    <row r="498" spans="2:15" x14ac:dyDescent="0.3">
      <c r="B498" s="202"/>
      <c r="C498" s="202"/>
      <c r="D498" s="210"/>
      <c r="E498" s="210"/>
      <c r="F498" s="210"/>
      <c r="G498" s="211"/>
      <c r="H498" s="214"/>
      <c r="I498" s="207"/>
      <c r="J498" s="208"/>
      <c r="K498" s="209"/>
      <c r="M498" s="111"/>
      <c r="N498" t="str">
        <f t="shared" si="18"/>
        <v/>
      </c>
      <c r="O498" s="5" t="str">
        <f t="shared" si="19"/>
        <v/>
      </c>
    </row>
    <row r="499" spans="2:15" x14ac:dyDescent="0.3">
      <c r="B499" s="202"/>
      <c r="C499" s="202"/>
      <c r="D499" s="210"/>
      <c r="E499" s="210"/>
      <c r="F499" s="210"/>
      <c r="G499" s="211"/>
      <c r="H499" s="214"/>
      <c r="I499" s="207"/>
      <c r="J499" s="208"/>
      <c r="K499" s="209"/>
      <c r="M499" s="111"/>
      <c r="N499" t="str">
        <f t="shared" si="18"/>
        <v/>
      </c>
      <c r="O499" s="5" t="str">
        <f t="shared" si="19"/>
        <v/>
      </c>
    </row>
    <row r="500" spans="2:15" x14ac:dyDescent="0.3">
      <c r="B500" s="202"/>
      <c r="C500" s="202"/>
      <c r="D500" s="210"/>
      <c r="E500" s="210"/>
      <c r="F500" s="210"/>
      <c r="G500" s="211"/>
      <c r="H500" s="214"/>
      <c r="I500" s="207"/>
      <c r="J500" s="208"/>
      <c r="K500" s="209"/>
      <c r="M500" s="111"/>
      <c r="N500" t="str">
        <f t="shared" si="18"/>
        <v/>
      </c>
      <c r="O500" s="5" t="str">
        <f t="shared" si="19"/>
        <v/>
      </c>
    </row>
    <row r="1048576" spans="11:13" x14ac:dyDescent="0.3">
      <c r="K1048576" s="91"/>
      <c r="L1048576" s="129"/>
      <c r="M1048576" s="91"/>
    </row>
  </sheetData>
  <sheetProtection sheet="1" objects="1" scenarios="1" selectLockedCells="1"/>
  <phoneticPr fontId="32" type="noConversion"/>
  <conditionalFormatting sqref="J1:J5 J30:J1048576">
    <cfRule type="cellIs" dxfId="95" priority="118" operator="equal">
      <formula>"Betaald via Bank"</formula>
    </cfRule>
    <cfRule type="cellIs" dxfId="94" priority="121" operator="equal">
      <formula>"Openstaand"</formula>
    </cfRule>
    <cfRule type="cellIs" dxfId="93" priority="122" operator="equal">
      <formula>"Betaald via Kas"</formula>
    </cfRule>
  </conditionalFormatting>
  <conditionalFormatting sqref="J27:J29">
    <cfRule type="cellIs" dxfId="92" priority="40" operator="equal">
      <formula>"Betaald via Bank"</formula>
    </cfRule>
    <cfRule type="cellIs" dxfId="91" priority="42" operator="equal">
      <formula>"Openstaand"</formula>
    </cfRule>
    <cfRule type="cellIs" dxfId="90" priority="43" operator="equal">
      <formula>"Betaald via Kas"</formula>
    </cfRule>
  </conditionalFormatting>
  <conditionalFormatting sqref="J6:J9">
    <cfRule type="cellIs" dxfId="89" priority="35" operator="equal">
      <formula>"Betaald via Bank"</formula>
    </cfRule>
    <cfRule type="cellIs" dxfId="88" priority="37" operator="equal">
      <formula>"Openstaand"</formula>
    </cfRule>
    <cfRule type="cellIs" dxfId="87" priority="38" operator="equal">
      <formula>"Betaald via Kas"</formula>
    </cfRule>
  </conditionalFormatting>
  <conditionalFormatting sqref="J6">
    <cfRule type="containsText" priority="36" operator="containsText" text="Betaald via Bank">
      <formula>NOT(ISERROR(SEARCH("Betaald via Bank",J6)))</formula>
    </cfRule>
  </conditionalFormatting>
  <conditionalFormatting sqref="J10:J11">
    <cfRule type="cellIs" dxfId="86" priority="32" operator="equal">
      <formula>"Betaald via Bank"</formula>
    </cfRule>
    <cfRule type="cellIs" dxfId="85" priority="33" operator="equal">
      <formula>"Openstaand"</formula>
    </cfRule>
    <cfRule type="cellIs" dxfId="84" priority="34" operator="equal">
      <formula>"Betaald via Kas"</formula>
    </cfRule>
  </conditionalFormatting>
  <conditionalFormatting sqref="J12:J15">
    <cfRule type="cellIs" dxfId="83" priority="28" operator="equal">
      <formula>"Betaald via Bank"</formula>
    </cfRule>
    <cfRule type="cellIs" dxfId="82" priority="30" operator="equal">
      <formula>"Openstaand"</formula>
    </cfRule>
    <cfRule type="cellIs" dxfId="81" priority="31" operator="equal">
      <formula>"Betaald via Kas"</formula>
    </cfRule>
  </conditionalFormatting>
  <conditionalFormatting sqref="J12">
    <cfRule type="containsText" priority="29" operator="containsText" text="Betaald via Bank">
      <formula>NOT(ISERROR(SEARCH("Betaald via Bank",J12)))</formula>
    </cfRule>
  </conditionalFormatting>
  <conditionalFormatting sqref="J16:J17">
    <cfRule type="cellIs" dxfId="80" priority="25" operator="equal">
      <formula>"Betaald via Bank"</formula>
    </cfRule>
    <cfRule type="cellIs" dxfId="79" priority="26" operator="equal">
      <formula>"Openstaand"</formula>
    </cfRule>
    <cfRule type="cellIs" dxfId="78" priority="27" operator="equal">
      <formula>"Betaald via Kas"</formula>
    </cfRule>
  </conditionalFormatting>
  <conditionalFormatting sqref="J18:J19">
    <cfRule type="cellIs" dxfId="77" priority="22" operator="equal">
      <formula>"Betaald via Bank"</formula>
    </cfRule>
    <cfRule type="cellIs" dxfId="76" priority="23" operator="equal">
      <formula>"Openstaand"</formula>
    </cfRule>
    <cfRule type="cellIs" dxfId="75" priority="24" operator="equal">
      <formula>"Betaald via Kas"</formula>
    </cfRule>
  </conditionalFormatting>
  <conditionalFormatting sqref="J20:J21">
    <cfRule type="cellIs" dxfId="74" priority="19" operator="equal">
      <formula>"Betaald via Bank"</formula>
    </cfRule>
    <cfRule type="cellIs" dxfId="73" priority="20" operator="equal">
      <formula>"Openstaand"</formula>
    </cfRule>
    <cfRule type="cellIs" dxfId="72" priority="21" operator="equal">
      <formula>"Betaald via Kas"</formula>
    </cfRule>
  </conditionalFormatting>
  <conditionalFormatting sqref="J22">
    <cfRule type="cellIs" dxfId="71" priority="16" operator="equal">
      <formula>"Betaald via Bank"</formula>
    </cfRule>
    <cfRule type="cellIs" dxfId="70" priority="17" operator="equal">
      <formula>"Openstaand"</formula>
    </cfRule>
    <cfRule type="cellIs" dxfId="69" priority="18" operator="equal">
      <formula>"Betaald via Kas"</formula>
    </cfRule>
  </conditionalFormatting>
  <conditionalFormatting sqref="J23:J24">
    <cfRule type="cellIs" dxfId="68" priority="13" operator="equal">
      <formula>"Betaald via Bank"</formula>
    </cfRule>
    <cfRule type="cellIs" dxfId="67" priority="14" operator="equal">
      <formula>"Openstaand"</formula>
    </cfRule>
    <cfRule type="cellIs" dxfId="66" priority="15" operator="equal">
      <formula>"Betaald via Kas"</formula>
    </cfRule>
  </conditionalFormatting>
  <conditionalFormatting sqref="J25:J26">
    <cfRule type="cellIs" dxfId="65" priority="10" operator="equal">
      <formula>"Betaald via Bank"</formula>
    </cfRule>
    <cfRule type="cellIs" dxfId="64" priority="11" operator="equal">
      <formula>"Openstaand"</formula>
    </cfRule>
    <cfRule type="cellIs" dxfId="63" priority="12" operator="equal">
      <formula>"Betaald via Kas"</formula>
    </cfRule>
  </conditionalFormatting>
  <conditionalFormatting sqref="J30">
    <cfRule type="cellIs" dxfId="62" priority="7" operator="equal">
      <formula>"Betaald via Bank"</formula>
    </cfRule>
    <cfRule type="cellIs" dxfId="61" priority="8" operator="equal">
      <formula>"Openstaand"</formula>
    </cfRule>
    <cfRule type="cellIs" dxfId="60" priority="9" operator="equal">
      <formula>"Betaald via Kas"</formula>
    </cfRule>
  </conditionalFormatting>
  <conditionalFormatting sqref="J27">
    <cfRule type="cellIs" dxfId="59" priority="4" operator="equal">
      <formula>"Betaald via Bank"</formula>
    </cfRule>
    <cfRule type="cellIs" dxfId="58" priority="5" operator="equal">
      <formula>"Openstaand"</formula>
    </cfRule>
    <cfRule type="cellIs" dxfId="57" priority="6" operator="equal">
      <formula>"Betaald via Kas"</formula>
    </cfRule>
  </conditionalFormatting>
  <conditionalFormatting sqref="J28:J29">
    <cfRule type="cellIs" dxfId="56" priority="1" operator="equal">
      <formula>"Betaald via Bank"</formula>
    </cfRule>
    <cfRule type="cellIs" dxfId="55" priority="2" operator="equal">
      <formula>"Openstaand"</formula>
    </cfRule>
    <cfRule type="cellIs" dxfId="54" priority="3" operator="equal">
      <formula>"Betaald via Kas"</formula>
    </cfRule>
  </conditionalFormatting>
  <dataValidations count="3">
    <dataValidation type="list" allowBlank="1" showInputMessage="1" showErrorMessage="1" sqref="J6:J1048576" xr:uid="{00000000-0002-0000-0200-000000000000}">
      <formula1>Betaalstatus</formula1>
    </dataValidation>
    <dataValidation type="list" allowBlank="1" showInputMessage="1" showErrorMessage="1" sqref="C6:C500" xr:uid="{00000000-0002-0000-0200-000001000000}">
      <formula1>soort</formula1>
    </dataValidation>
    <dataValidation type="list" allowBlank="1" showInputMessage="1" showErrorMessage="1" sqref="H6:H500" xr:uid="{00000000-0002-0000-0200-000002000000}">
      <formula1>btwtarieven</formula1>
    </dataValidation>
  </dataValidations>
  <pageMargins left="0.7" right="0.7" top="0.75" bottom="0.75" header="0.3" footer="0.3"/>
  <pageSetup paperSize="9" orientation="portrait" r:id="rId1"/>
  <headerFooter>
    <oddFooter>&amp;C_x000D_&amp;1#&amp;"Calibri"&amp;10&amp;K000000 Knab Internal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3000000}">
          <x14:formula1>
            <xm:f>OFFSET(Relaties!$C$5,1,0,COUNTA(Relaties!$C:$C)-1,1)</xm:f>
          </x14:formula1>
          <xm:sqref>F6:F500</xm:sqref>
        </x14:dataValidation>
        <x14:dataValidation type="list" allowBlank="1" showInputMessage="1" showErrorMessage="1" errorTitle="Categorie niet gevonden" error="Kies alstublieft een categorie uit de lijst. " xr:uid="{00000000-0002-0000-0200-000004000000}">
          <x14:formula1>
            <xm:f>OFFSET(Categorieën!$J$5,1,0,COUNTA(Categorieën!$J$5:$J$41),1)</xm:f>
          </x14:formula1>
          <xm:sqref>K6:K500</xm:sqref>
        </x14:dataValidation>
        <x14:dataValidation type="list" allowBlank="1" showInputMessage="1" showErrorMessage="1" xr:uid="{00000000-0002-0000-0200-000005000000}">
          <x14:formula1>
            <xm:f>OFFSET(Categorieën!$J$5,1,0,COUNTA(Categorieën!$C:$C)-1,1)</xm:f>
          </x14:formula1>
          <xm:sqref>K1048576:M1048576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/>
  <dimension ref="A1:Q1477"/>
  <sheetViews>
    <sheetView showGridLines="0" showRowColHeaders="0" showZeros="0" workbookViewId="0">
      <selection activeCell="B36" sqref="B36"/>
    </sheetView>
  </sheetViews>
  <sheetFormatPr defaultColWidth="9" defaultRowHeight="13" x14ac:dyDescent="0.3"/>
  <cols>
    <col min="1" max="1" width="3.8984375" customWidth="1"/>
    <col min="2" max="2" width="11.8984375" style="1" customWidth="1"/>
    <col min="3" max="3" width="17.09765625" style="2" bestFit="1" customWidth="1"/>
    <col min="4" max="4" width="15.8984375" customWidth="1"/>
    <col min="5" max="5" width="25.8984375" customWidth="1"/>
    <col min="6" max="6" width="18.8984375" style="3" customWidth="1"/>
    <col min="7" max="7" width="14.8984375" style="9" customWidth="1"/>
    <col min="8" max="8" width="8.8984375" customWidth="1"/>
    <col min="9" max="9" width="13.8984375" style="1" customWidth="1"/>
    <col min="10" max="10" width="13.8984375" customWidth="1"/>
    <col min="11" max="11" width="21.8984375" customWidth="1"/>
    <col min="12" max="12" width="26.8984375" customWidth="1"/>
    <col min="13" max="13" width="2.69921875" hidden="1" customWidth="1"/>
    <col min="14" max="14" width="4.09765625" hidden="1" customWidth="1"/>
    <col min="15" max="15" width="14.3984375" hidden="1" customWidth="1"/>
    <col min="16" max="16" width="13.8984375" customWidth="1"/>
  </cols>
  <sheetData>
    <row r="1" spans="1:15" ht="23.5" x14ac:dyDescent="0.55000000000000004">
      <c r="A1" s="14"/>
      <c r="B1" s="19" t="s">
        <v>108</v>
      </c>
      <c r="C1" s="21"/>
      <c r="D1" s="14"/>
      <c r="E1" s="14"/>
      <c r="F1" s="25"/>
      <c r="G1" s="60">
        <f>SUM(G6:G500)</f>
        <v>1767.5599999999997</v>
      </c>
      <c r="H1" s="14"/>
      <c r="I1" s="18"/>
      <c r="J1" s="58" t="s">
        <v>90</v>
      </c>
      <c r="K1" s="35">
        <f>Basisinstellingen!C5</f>
        <v>2026</v>
      </c>
      <c r="L1" s="97"/>
      <c r="M1" s="97"/>
    </row>
    <row r="2" spans="1:15" x14ac:dyDescent="0.3">
      <c r="A2" s="14"/>
      <c r="B2" s="18"/>
      <c r="C2" s="21"/>
      <c r="D2" s="14"/>
      <c r="E2" s="14"/>
      <c r="F2" s="22"/>
      <c r="G2" s="23"/>
      <c r="H2" s="14"/>
      <c r="I2" s="57"/>
      <c r="J2" s="58" t="s">
        <v>90</v>
      </c>
      <c r="K2" s="59"/>
      <c r="L2" s="113"/>
      <c r="M2" s="113"/>
    </row>
    <row r="3" spans="1:15" x14ac:dyDescent="0.3">
      <c r="A3" s="14"/>
      <c r="B3" s="18"/>
      <c r="C3" s="21"/>
      <c r="D3" s="14"/>
      <c r="E3" s="14"/>
      <c r="F3" s="22"/>
      <c r="G3" s="23"/>
      <c r="H3" s="14"/>
      <c r="I3" s="57"/>
      <c r="J3" s="58" t="s">
        <v>90</v>
      </c>
      <c r="K3" s="59"/>
      <c r="L3" s="113"/>
      <c r="M3" s="113"/>
    </row>
    <row r="4" spans="1:15" ht="12.75" customHeight="1" x14ac:dyDescent="0.3">
      <c r="J4" s="38" t="s">
        <v>90</v>
      </c>
      <c r="O4" s="38" t="s">
        <v>90</v>
      </c>
    </row>
    <row r="5" spans="1:15" ht="12.75" customHeight="1" x14ac:dyDescent="0.3">
      <c r="B5" s="28" t="s">
        <v>1</v>
      </c>
      <c r="C5" s="28" t="s">
        <v>91</v>
      </c>
      <c r="D5" s="28" t="s">
        <v>0</v>
      </c>
      <c r="E5" s="28" t="s">
        <v>15</v>
      </c>
      <c r="F5" s="28" t="s">
        <v>174</v>
      </c>
      <c r="G5" s="28" t="s">
        <v>99</v>
      </c>
      <c r="H5" s="28" t="s">
        <v>98</v>
      </c>
      <c r="I5" s="28" t="s">
        <v>100</v>
      </c>
      <c r="J5" s="28" t="s">
        <v>3</v>
      </c>
      <c r="K5" s="28" t="s">
        <v>19</v>
      </c>
      <c r="L5" s="112"/>
      <c r="M5" s="112"/>
      <c r="N5" s="38" t="s">
        <v>90</v>
      </c>
      <c r="O5" s="38" t="s">
        <v>90</v>
      </c>
    </row>
    <row r="6" spans="1:15" ht="12.75" customHeight="1" x14ac:dyDescent="0.3">
      <c r="B6" s="74">
        <v>45734</v>
      </c>
      <c r="C6" s="74" t="s">
        <v>92</v>
      </c>
      <c r="D6" s="123" t="s">
        <v>212</v>
      </c>
      <c r="E6" s="125" t="s">
        <v>213</v>
      </c>
      <c r="F6" s="123" t="s">
        <v>214</v>
      </c>
      <c r="G6" s="178">
        <v>51</v>
      </c>
      <c r="H6" s="124">
        <v>0.21</v>
      </c>
      <c r="I6" s="140">
        <v>10.71</v>
      </c>
      <c r="J6" s="76" t="s">
        <v>95</v>
      </c>
      <c r="K6" s="77" t="s">
        <v>225</v>
      </c>
      <c r="L6" s="114" t="str">
        <f>IF(AND(OR($B6="",$C6="",$G6="",$H6="",$J6="",$K6="",AND($C6="Factuur",$J6="Openstaand",$F6="")),NOT(AND($B6="",$C6="",$G6="",$H6="",$J6="",$K6=""))),"Er ontbreken gegevens",IF(AND(NOT(ISBLANK($B6)),$O6&lt;&gt;$K$1),IF(AND($O6&lt;$K$1,$J6="Openstaand"),"Op beginbalans","Datum buiten boekjaar"),""))</f>
        <v>Datum buiten boekjaar</v>
      </c>
      <c r="M6" s="91"/>
      <c r="N6" s="38">
        <f>IFERROR(IF($B6="","",MONTH($B$6:$B$500)),0)</f>
        <v>3</v>
      </c>
      <c r="O6" s="38">
        <f>IFERROR(IF($B6="","",YEAR($B$6:$B$500)),0)</f>
        <v>2025</v>
      </c>
    </row>
    <row r="7" spans="1:15" ht="12.75" customHeight="1" x14ac:dyDescent="0.3">
      <c r="B7" s="194">
        <v>45777</v>
      </c>
      <c r="C7" s="194" t="s">
        <v>92</v>
      </c>
      <c r="D7" s="195">
        <v>88354154</v>
      </c>
      <c r="E7" s="196" t="s">
        <v>226</v>
      </c>
      <c r="F7" s="195" t="s">
        <v>219</v>
      </c>
      <c r="G7" s="197">
        <v>38.590000000000003</v>
      </c>
      <c r="H7" s="124">
        <v>0.21</v>
      </c>
      <c r="I7" s="140">
        <v>8.1</v>
      </c>
      <c r="J7" s="200" t="s">
        <v>95</v>
      </c>
      <c r="K7" s="201" t="s">
        <v>228</v>
      </c>
      <c r="L7" s="114" t="str">
        <f t="shared" ref="L7:L70" si="0">IF(AND(OR($B7="",$C7="",$G7="",$H7="",$J7="",$K7="",AND($C7="Factuur",$J7="Openstaand",$F7="")),NOT(AND($B7="",$C7="",$G7="",$H7="",$J7="",$K7=""))),"Er ontbreken gegevens",IF(AND(NOT(ISBLANK($B7)),$O7&lt;&gt;$K$1),IF(AND($O7&lt;$K$1,$J7="Openstaand"),"Op beginbalans","Datum buiten boekjaar"),""))</f>
        <v>Datum buiten boekjaar</v>
      </c>
      <c r="M7" s="91"/>
      <c r="N7" s="38">
        <f t="shared" ref="N7:N70" si="1">IFERROR(IF($B7="","",MONTH($B$6:$B$500)),0)</f>
        <v>4</v>
      </c>
      <c r="O7" s="38">
        <f t="shared" ref="O7:O70" si="2">IFERROR(IF($B7="","",YEAR($B$6:$B$500)),0)</f>
        <v>2025</v>
      </c>
    </row>
    <row r="8" spans="1:15" ht="12.75" customHeight="1" x14ac:dyDescent="0.3">
      <c r="B8" s="202">
        <v>45778</v>
      </c>
      <c r="C8" s="202" t="s">
        <v>92</v>
      </c>
      <c r="D8" s="203" t="s">
        <v>229</v>
      </c>
      <c r="E8" s="204" t="s">
        <v>230</v>
      </c>
      <c r="F8" s="203" t="s">
        <v>220</v>
      </c>
      <c r="G8" s="205">
        <v>7.5</v>
      </c>
      <c r="H8" s="124">
        <v>0.21</v>
      </c>
      <c r="I8" s="140">
        <v>1.58</v>
      </c>
      <c r="J8" s="208" t="s">
        <v>95</v>
      </c>
      <c r="K8" s="209" t="s">
        <v>231</v>
      </c>
      <c r="L8" s="114" t="str">
        <f t="shared" si="0"/>
        <v>Datum buiten boekjaar</v>
      </c>
      <c r="M8" s="91"/>
      <c r="N8" s="38">
        <f t="shared" si="1"/>
        <v>5</v>
      </c>
      <c r="O8" s="38">
        <f t="shared" si="2"/>
        <v>2025</v>
      </c>
    </row>
    <row r="9" spans="1:15" ht="12.75" customHeight="1" x14ac:dyDescent="0.3">
      <c r="B9" s="202">
        <v>45793</v>
      </c>
      <c r="C9" s="202" t="s">
        <v>92</v>
      </c>
      <c r="D9" s="203" t="s">
        <v>232</v>
      </c>
      <c r="E9" s="204" t="s">
        <v>233</v>
      </c>
      <c r="F9" s="123" t="s">
        <v>221</v>
      </c>
      <c r="G9" s="205">
        <v>61</v>
      </c>
      <c r="H9" s="124">
        <v>0.21</v>
      </c>
      <c r="I9" s="140">
        <v>12.81</v>
      </c>
      <c r="J9" s="208" t="s">
        <v>95</v>
      </c>
      <c r="K9" s="209" t="s">
        <v>225</v>
      </c>
      <c r="L9" s="114" t="str">
        <f t="shared" si="0"/>
        <v>Datum buiten boekjaar</v>
      </c>
      <c r="M9" s="91"/>
      <c r="N9" s="38">
        <f t="shared" si="1"/>
        <v>5</v>
      </c>
      <c r="O9" s="38">
        <f t="shared" si="2"/>
        <v>2025</v>
      </c>
    </row>
    <row r="10" spans="1:15" ht="12.75" customHeight="1" x14ac:dyDescent="0.3">
      <c r="B10" s="202">
        <v>45796</v>
      </c>
      <c r="C10" s="202" t="s">
        <v>92</v>
      </c>
      <c r="D10" s="203" t="s">
        <v>234</v>
      </c>
      <c r="E10" s="204" t="s">
        <v>235</v>
      </c>
      <c r="F10" s="195" t="s">
        <v>222</v>
      </c>
      <c r="G10" s="205">
        <v>15.2</v>
      </c>
      <c r="H10" s="124">
        <v>0.21</v>
      </c>
      <c r="I10" s="140">
        <v>3.19</v>
      </c>
      <c r="J10" s="208" t="s">
        <v>95</v>
      </c>
      <c r="K10" s="209" t="s">
        <v>225</v>
      </c>
      <c r="L10" s="114" t="str">
        <f t="shared" si="0"/>
        <v>Datum buiten boekjaar</v>
      </c>
      <c r="M10" s="91"/>
      <c r="N10" s="38">
        <f t="shared" si="1"/>
        <v>5</v>
      </c>
      <c r="O10" s="38">
        <f t="shared" si="2"/>
        <v>2025</v>
      </c>
    </row>
    <row r="11" spans="1:15" ht="12.75" customHeight="1" x14ac:dyDescent="0.3">
      <c r="B11" s="202">
        <v>45796</v>
      </c>
      <c r="C11" s="202" t="s">
        <v>92</v>
      </c>
      <c r="D11" s="203" t="s">
        <v>234</v>
      </c>
      <c r="E11" s="204" t="s">
        <v>235</v>
      </c>
      <c r="F11" s="203" t="s">
        <v>222</v>
      </c>
      <c r="G11" s="205">
        <v>15.12</v>
      </c>
      <c r="H11" s="124" t="s">
        <v>111</v>
      </c>
      <c r="I11" s="140"/>
      <c r="J11" s="208" t="s">
        <v>95</v>
      </c>
      <c r="K11" s="209" t="s">
        <v>225</v>
      </c>
      <c r="L11" s="114" t="str">
        <f t="shared" si="0"/>
        <v>Datum buiten boekjaar</v>
      </c>
      <c r="M11" s="91"/>
      <c r="N11" s="38">
        <f t="shared" si="1"/>
        <v>5</v>
      </c>
      <c r="O11" s="38">
        <f t="shared" si="2"/>
        <v>2025</v>
      </c>
    </row>
    <row r="12" spans="1:15" ht="12.75" customHeight="1" x14ac:dyDescent="0.3">
      <c r="B12" s="202">
        <v>45800</v>
      </c>
      <c r="C12" s="202" t="s">
        <v>92</v>
      </c>
      <c r="D12" s="203">
        <v>29803258</v>
      </c>
      <c r="E12" s="210" t="s">
        <v>236</v>
      </c>
      <c r="F12" s="123" t="s">
        <v>223</v>
      </c>
      <c r="G12" s="211">
        <v>127.23</v>
      </c>
      <c r="H12" s="124">
        <v>0.21</v>
      </c>
      <c r="I12" s="140">
        <v>26.72</v>
      </c>
      <c r="J12" s="76" t="s">
        <v>95</v>
      </c>
      <c r="K12" s="209" t="s">
        <v>227</v>
      </c>
      <c r="L12" s="114" t="str">
        <f t="shared" si="0"/>
        <v>Datum buiten boekjaar</v>
      </c>
      <c r="M12" s="91"/>
      <c r="N12" s="38">
        <f t="shared" si="1"/>
        <v>5</v>
      </c>
      <c r="O12" s="38">
        <f t="shared" si="2"/>
        <v>2025</v>
      </c>
    </row>
    <row r="13" spans="1:15" ht="12.75" customHeight="1" x14ac:dyDescent="0.3">
      <c r="B13" s="202">
        <v>45803</v>
      </c>
      <c r="C13" s="202" t="s">
        <v>92</v>
      </c>
      <c r="D13" s="203">
        <v>29829031</v>
      </c>
      <c r="E13" s="210" t="s">
        <v>237</v>
      </c>
      <c r="F13" s="195" t="s">
        <v>223</v>
      </c>
      <c r="G13" s="211">
        <v>278.64</v>
      </c>
      <c r="H13" s="124">
        <v>0.21</v>
      </c>
      <c r="I13" s="140">
        <v>58.51</v>
      </c>
      <c r="J13" s="200" t="s">
        <v>95</v>
      </c>
      <c r="K13" s="209" t="s">
        <v>227</v>
      </c>
      <c r="L13" s="114" t="str">
        <f t="shared" si="0"/>
        <v>Datum buiten boekjaar</v>
      </c>
      <c r="M13" s="91"/>
      <c r="N13" s="38">
        <f t="shared" si="1"/>
        <v>5</v>
      </c>
      <c r="O13" s="38">
        <f t="shared" si="2"/>
        <v>2025</v>
      </c>
    </row>
    <row r="14" spans="1:15" ht="12.75" customHeight="1" x14ac:dyDescent="0.3">
      <c r="B14" s="202">
        <v>45810</v>
      </c>
      <c r="C14" s="202" t="s">
        <v>92</v>
      </c>
      <c r="D14" s="203" t="s">
        <v>238</v>
      </c>
      <c r="E14" s="210" t="s">
        <v>230</v>
      </c>
      <c r="F14" s="203" t="s">
        <v>220</v>
      </c>
      <c r="G14" s="211">
        <v>7.5</v>
      </c>
      <c r="H14" s="124">
        <v>0.21</v>
      </c>
      <c r="I14" s="140">
        <v>1.58</v>
      </c>
      <c r="J14" s="208" t="s">
        <v>95</v>
      </c>
      <c r="K14" s="209" t="s">
        <v>231</v>
      </c>
      <c r="L14" s="114" t="str">
        <f t="shared" si="0"/>
        <v>Datum buiten boekjaar</v>
      </c>
      <c r="M14" s="91"/>
      <c r="N14" s="38">
        <f t="shared" si="1"/>
        <v>6</v>
      </c>
      <c r="O14" s="38">
        <f t="shared" si="2"/>
        <v>2025</v>
      </c>
    </row>
    <row r="15" spans="1:15" ht="12.75" customHeight="1" x14ac:dyDescent="0.3">
      <c r="B15" s="202">
        <v>45811</v>
      </c>
      <c r="C15" s="202" t="s">
        <v>92</v>
      </c>
      <c r="D15" s="203" t="s">
        <v>239</v>
      </c>
      <c r="E15" s="210" t="s">
        <v>240</v>
      </c>
      <c r="F15" s="123" t="s">
        <v>224</v>
      </c>
      <c r="G15" s="205">
        <v>7.18</v>
      </c>
      <c r="H15" s="124">
        <v>0.21</v>
      </c>
      <c r="I15" s="140">
        <v>1.51</v>
      </c>
      <c r="J15" s="208" t="s">
        <v>95</v>
      </c>
      <c r="K15" s="209" t="s">
        <v>228</v>
      </c>
      <c r="L15" s="114" t="str">
        <f t="shared" si="0"/>
        <v>Datum buiten boekjaar</v>
      </c>
      <c r="M15" s="91"/>
      <c r="N15" s="38">
        <f t="shared" si="1"/>
        <v>6</v>
      </c>
      <c r="O15" s="38">
        <f t="shared" si="2"/>
        <v>2025</v>
      </c>
    </row>
    <row r="16" spans="1:15" ht="12.75" customHeight="1" x14ac:dyDescent="0.3">
      <c r="B16" s="202">
        <v>45823</v>
      </c>
      <c r="C16" s="202" t="s">
        <v>92</v>
      </c>
      <c r="D16" s="203" t="s">
        <v>241</v>
      </c>
      <c r="E16" s="210" t="s">
        <v>233</v>
      </c>
      <c r="F16" s="195" t="s">
        <v>221</v>
      </c>
      <c r="G16" s="205">
        <v>117</v>
      </c>
      <c r="H16" s="124">
        <v>0.21</v>
      </c>
      <c r="I16" s="140">
        <v>24.57</v>
      </c>
      <c r="J16" s="208" t="s">
        <v>95</v>
      </c>
      <c r="K16" s="209" t="s">
        <v>225</v>
      </c>
      <c r="L16" s="114" t="str">
        <f t="shared" si="0"/>
        <v>Datum buiten boekjaar</v>
      </c>
      <c r="M16" s="91"/>
      <c r="N16" s="38">
        <f t="shared" si="1"/>
        <v>6</v>
      </c>
      <c r="O16" s="38">
        <f t="shared" si="2"/>
        <v>2025</v>
      </c>
    </row>
    <row r="17" spans="2:15" ht="12.75" customHeight="1" x14ac:dyDescent="0.3">
      <c r="B17" s="202"/>
      <c r="C17" s="202"/>
      <c r="D17" s="203"/>
      <c r="E17" s="210" t="s">
        <v>269</v>
      </c>
      <c r="F17" s="203"/>
      <c r="G17" s="205"/>
      <c r="H17" s="124"/>
      <c r="I17" s="140"/>
      <c r="J17" s="208"/>
      <c r="K17" s="209"/>
      <c r="L17" s="114" t="str">
        <f t="shared" si="0"/>
        <v/>
      </c>
      <c r="M17" s="91"/>
      <c r="N17" s="38" t="str">
        <f t="shared" si="1"/>
        <v/>
      </c>
      <c r="O17" s="38" t="str">
        <f t="shared" si="2"/>
        <v/>
      </c>
    </row>
    <row r="18" spans="2:15" ht="12.75" customHeight="1" x14ac:dyDescent="0.3">
      <c r="B18" s="202">
        <v>45660</v>
      </c>
      <c r="C18" s="202" t="s">
        <v>92</v>
      </c>
      <c r="D18" s="203">
        <v>818411</v>
      </c>
      <c r="E18" s="210" t="s">
        <v>242</v>
      </c>
      <c r="F18" s="123" t="s">
        <v>243</v>
      </c>
      <c r="G18" s="205">
        <v>584.66</v>
      </c>
      <c r="H18" s="124">
        <v>0.21</v>
      </c>
      <c r="I18" s="140">
        <v>122.78</v>
      </c>
      <c r="J18" s="208" t="s">
        <v>95</v>
      </c>
      <c r="K18" s="209" t="s">
        <v>227</v>
      </c>
      <c r="L18" s="114" t="str">
        <f t="shared" si="0"/>
        <v>Datum buiten boekjaar</v>
      </c>
      <c r="M18" s="91"/>
      <c r="N18" s="38">
        <f t="shared" si="1"/>
        <v>1</v>
      </c>
      <c r="O18" s="38">
        <f t="shared" si="2"/>
        <v>2025</v>
      </c>
    </row>
    <row r="19" spans="2:15" ht="12.75" customHeight="1" x14ac:dyDescent="0.3">
      <c r="B19" s="202">
        <v>45716</v>
      </c>
      <c r="C19" s="202" t="s">
        <v>92</v>
      </c>
      <c r="D19" s="203">
        <v>842655</v>
      </c>
      <c r="E19" s="210" t="s">
        <v>249</v>
      </c>
      <c r="F19" s="195" t="s">
        <v>243</v>
      </c>
      <c r="G19" s="211">
        <v>69.349999999999994</v>
      </c>
      <c r="H19" s="124">
        <v>0.21</v>
      </c>
      <c r="I19" s="140">
        <v>14.56</v>
      </c>
      <c r="J19" s="208" t="s">
        <v>95</v>
      </c>
      <c r="K19" s="209" t="s">
        <v>227</v>
      </c>
      <c r="L19" s="114" t="str">
        <f t="shared" si="0"/>
        <v>Datum buiten boekjaar</v>
      </c>
      <c r="M19" s="91"/>
      <c r="N19" s="38">
        <f t="shared" si="1"/>
        <v>2</v>
      </c>
      <c r="O19" s="38">
        <f t="shared" si="2"/>
        <v>2025</v>
      </c>
    </row>
    <row r="20" spans="2:15" ht="12.75" customHeight="1" x14ac:dyDescent="0.3">
      <c r="B20" s="202">
        <v>45782</v>
      </c>
      <c r="C20" s="202" t="s">
        <v>92</v>
      </c>
      <c r="D20" s="203">
        <v>864112</v>
      </c>
      <c r="E20" s="210" t="s">
        <v>249</v>
      </c>
      <c r="F20" s="203" t="s">
        <v>243</v>
      </c>
      <c r="G20" s="211">
        <v>49.58</v>
      </c>
      <c r="H20" s="124">
        <v>0.21</v>
      </c>
      <c r="I20" s="140">
        <v>10.41</v>
      </c>
      <c r="J20" s="208" t="s">
        <v>95</v>
      </c>
      <c r="K20" s="209" t="s">
        <v>227</v>
      </c>
      <c r="L20" s="114" t="str">
        <f t="shared" si="0"/>
        <v>Datum buiten boekjaar</v>
      </c>
      <c r="M20" s="91"/>
      <c r="N20" s="38">
        <f t="shared" si="1"/>
        <v>5</v>
      </c>
      <c r="O20" s="38">
        <f t="shared" si="2"/>
        <v>2025</v>
      </c>
    </row>
    <row r="21" spans="2:15" ht="12.75" customHeight="1" x14ac:dyDescent="0.3">
      <c r="B21" s="202">
        <v>45782</v>
      </c>
      <c r="C21" s="202" t="s">
        <v>92</v>
      </c>
      <c r="D21" s="203">
        <v>864111</v>
      </c>
      <c r="E21" s="210" t="s">
        <v>250</v>
      </c>
      <c r="F21" s="195" t="s">
        <v>243</v>
      </c>
      <c r="G21" s="211">
        <v>11.12</v>
      </c>
      <c r="H21" s="124">
        <v>0.21</v>
      </c>
      <c r="I21" s="140">
        <v>2.34</v>
      </c>
      <c r="J21" s="208" t="s">
        <v>95</v>
      </c>
      <c r="K21" s="209" t="s">
        <v>227</v>
      </c>
      <c r="L21" s="114" t="str">
        <f t="shared" si="0"/>
        <v>Datum buiten boekjaar</v>
      </c>
      <c r="M21" s="91"/>
      <c r="N21" s="38">
        <f t="shared" si="1"/>
        <v>5</v>
      </c>
      <c r="O21" s="38">
        <f t="shared" si="2"/>
        <v>2025</v>
      </c>
    </row>
    <row r="22" spans="2:15" ht="12.75" customHeight="1" x14ac:dyDescent="0.3">
      <c r="B22" s="202">
        <v>45771</v>
      </c>
      <c r="C22" s="202" t="s">
        <v>92</v>
      </c>
      <c r="D22" s="203">
        <v>449199</v>
      </c>
      <c r="E22" s="210" t="s">
        <v>256</v>
      </c>
      <c r="F22" s="203" t="s">
        <v>251</v>
      </c>
      <c r="G22" s="205">
        <v>119.4</v>
      </c>
      <c r="H22" s="124">
        <v>0.21</v>
      </c>
      <c r="I22" s="140">
        <v>25.07</v>
      </c>
      <c r="J22" s="208" t="s">
        <v>95</v>
      </c>
      <c r="K22" s="209" t="s">
        <v>231</v>
      </c>
      <c r="L22" s="114" t="str">
        <f t="shared" si="0"/>
        <v>Datum buiten boekjaar</v>
      </c>
      <c r="M22" s="91"/>
      <c r="N22" s="38">
        <f t="shared" si="1"/>
        <v>4</v>
      </c>
      <c r="O22" s="38">
        <f t="shared" si="2"/>
        <v>2025</v>
      </c>
    </row>
    <row r="23" spans="2:15" ht="12.75" customHeight="1" x14ac:dyDescent="0.3">
      <c r="B23" s="202">
        <v>45771</v>
      </c>
      <c r="C23" s="202" t="s">
        <v>92</v>
      </c>
      <c r="D23" s="203">
        <v>449302</v>
      </c>
      <c r="E23" s="210" t="s">
        <v>257</v>
      </c>
      <c r="F23" s="123" t="s">
        <v>251</v>
      </c>
      <c r="G23" s="205">
        <v>18.95</v>
      </c>
      <c r="H23" s="124">
        <v>0.21</v>
      </c>
      <c r="I23" s="140">
        <v>3.98</v>
      </c>
      <c r="J23" s="208" t="s">
        <v>95</v>
      </c>
      <c r="K23" s="209" t="s">
        <v>231</v>
      </c>
      <c r="L23" s="114" t="str">
        <f t="shared" si="0"/>
        <v>Datum buiten boekjaar</v>
      </c>
      <c r="M23" s="91"/>
      <c r="N23" s="38">
        <f t="shared" si="1"/>
        <v>4</v>
      </c>
      <c r="O23" s="38">
        <f t="shared" si="2"/>
        <v>2025</v>
      </c>
    </row>
    <row r="24" spans="2:15" ht="12.75" customHeight="1" x14ac:dyDescent="0.3">
      <c r="B24" s="202">
        <v>45853</v>
      </c>
      <c r="C24" s="202" t="s">
        <v>92</v>
      </c>
      <c r="D24" s="203" t="s">
        <v>258</v>
      </c>
      <c r="E24" s="210" t="s">
        <v>230</v>
      </c>
      <c r="F24" s="195" t="s">
        <v>220</v>
      </c>
      <c r="G24" s="205">
        <v>7.5</v>
      </c>
      <c r="H24" s="124">
        <v>0.21</v>
      </c>
      <c r="I24" s="140">
        <v>1.58</v>
      </c>
      <c r="J24" s="208" t="s">
        <v>95</v>
      </c>
      <c r="K24" s="209" t="s">
        <v>231</v>
      </c>
      <c r="L24" s="114" t="str">
        <f t="shared" si="0"/>
        <v>Datum buiten boekjaar</v>
      </c>
      <c r="M24" s="91"/>
      <c r="N24" s="38">
        <f t="shared" si="1"/>
        <v>7</v>
      </c>
      <c r="O24" s="38">
        <f t="shared" si="2"/>
        <v>2025</v>
      </c>
    </row>
    <row r="25" spans="2:15" ht="12.75" customHeight="1" x14ac:dyDescent="0.3">
      <c r="B25" s="202">
        <v>45870</v>
      </c>
      <c r="C25" s="202" t="s">
        <v>92</v>
      </c>
      <c r="D25" s="203" t="s">
        <v>259</v>
      </c>
      <c r="E25" s="210" t="s">
        <v>230</v>
      </c>
      <c r="F25" s="203" t="s">
        <v>220</v>
      </c>
      <c r="G25" s="205">
        <v>7.5</v>
      </c>
      <c r="H25" s="124">
        <v>0.21</v>
      </c>
      <c r="I25" s="140">
        <v>1.58</v>
      </c>
      <c r="J25" s="208" t="s">
        <v>95</v>
      </c>
      <c r="K25" s="209" t="s">
        <v>231</v>
      </c>
      <c r="L25" s="114" t="str">
        <f t="shared" si="0"/>
        <v>Datum buiten boekjaar</v>
      </c>
      <c r="M25" s="91"/>
      <c r="N25" s="38">
        <f t="shared" si="1"/>
        <v>8</v>
      </c>
      <c r="O25" s="38">
        <f t="shared" si="2"/>
        <v>2025</v>
      </c>
    </row>
    <row r="26" spans="2:15" ht="12.75" customHeight="1" x14ac:dyDescent="0.3">
      <c r="B26" s="202">
        <v>45901</v>
      </c>
      <c r="C26" s="202" t="s">
        <v>92</v>
      </c>
      <c r="D26" s="203" t="s">
        <v>260</v>
      </c>
      <c r="E26" s="210" t="s">
        <v>230</v>
      </c>
      <c r="F26" s="123" t="s">
        <v>220</v>
      </c>
      <c r="G26" s="211">
        <v>7.5</v>
      </c>
      <c r="H26" s="124">
        <v>0.21</v>
      </c>
      <c r="I26" s="140">
        <v>1.58</v>
      </c>
      <c r="J26" s="208" t="s">
        <v>95</v>
      </c>
      <c r="K26" s="209" t="s">
        <v>231</v>
      </c>
      <c r="L26" s="114" t="str">
        <f t="shared" si="0"/>
        <v>Datum buiten boekjaar</v>
      </c>
      <c r="M26" s="91"/>
      <c r="N26" s="38">
        <f t="shared" si="1"/>
        <v>9</v>
      </c>
      <c r="O26" s="38">
        <f t="shared" si="2"/>
        <v>2025</v>
      </c>
    </row>
    <row r="27" spans="2:15" ht="12.75" customHeight="1" x14ac:dyDescent="0.3">
      <c r="B27" s="202">
        <v>45930</v>
      </c>
      <c r="C27" s="202" t="s">
        <v>92</v>
      </c>
      <c r="D27" s="203" t="s">
        <v>261</v>
      </c>
      <c r="E27" s="210" t="s">
        <v>262</v>
      </c>
      <c r="F27" s="195" t="s">
        <v>224</v>
      </c>
      <c r="G27" s="211">
        <v>10.25</v>
      </c>
      <c r="H27" s="124">
        <v>0.21</v>
      </c>
      <c r="I27" s="140">
        <v>2.15</v>
      </c>
      <c r="J27" s="208" t="s">
        <v>95</v>
      </c>
      <c r="K27" s="209" t="s">
        <v>228</v>
      </c>
      <c r="L27" s="114" t="str">
        <f t="shared" si="0"/>
        <v>Datum buiten boekjaar</v>
      </c>
      <c r="M27" s="91"/>
      <c r="N27" s="38">
        <f t="shared" si="1"/>
        <v>9</v>
      </c>
      <c r="O27" s="38">
        <f t="shared" si="2"/>
        <v>2025</v>
      </c>
    </row>
    <row r="28" spans="2:15" ht="12.75" customHeight="1" x14ac:dyDescent="0.3">
      <c r="B28" s="202">
        <v>45931</v>
      </c>
      <c r="C28" s="202" t="s">
        <v>92</v>
      </c>
      <c r="D28" s="203" t="s">
        <v>263</v>
      </c>
      <c r="E28" s="210" t="s">
        <v>230</v>
      </c>
      <c r="F28" s="203" t="s">
        <v>220</v>
      </c>
      <c r="G28" s="211">
        <v>7.5</v>
      </c>
      <c r="H28" s="124">
        <v>0.21</v>
      </c>
      <c r="I28" s="140">
        <v>1.58</v>
      </c>
      <c r="J28" s="208" t="s">
        <v>95</v>
      </c>
      <c r="K28" s="209" t="s">
        <v>231</v>
      </c>
      <c r="L28" s="114" t="str">
        <f t="shared" si="0"/>
        <v>Datum buiten boekjaar</v>
      </c>
      <c r="M28" s="91"/>
      <c r="N28" s="38">
        <f t="shared" si="1"/>
        <v>10</v>
      </c>
      <c r="O28" s="38">
        <f t="shared" si="2"/>
        <v>2025</v>
      </c>
    </row>
    <row r="29" spans="2:15" ht="12.75" customHeight="1" x14ac:dyDescent="0.3">
      <c r="B29" s="202">
        <v>45947</v>
      </c>
      <c r="C29" s="202" t="s">
        <v>92</v>
      </c>
      <c r="D29" s="203">
        <v>546863</v>
      </c>
      <c r="E29" s="210" t="s">
        <v>257</v>
      </c>
      <c r="F29" s="123" t="s">
        <v>251</v>
      </c>
      <c r="G29" s="205">
        <v>12.95</v>
      </c>
      <c r="H29" s="124">
        <v>0.21</v>
      </c>
      <c r="I29" s="140">
        <v>2.72</v>
      </c>
      <c r="J29" s="208" t="s">
        <v>95</v>
      </c>
      <c r="K29" s="209" t="s">
        <v>231</v>
      </c>
      <c r="L29" s="114" t="str">
        <f t="shared" si="0"/>
        <v>Datum buiten boekjaar</v>
      </c>
      <c r="M29" s="91"/>
      <c r="N29" s="38">
        <f t="shared" si="1"/>
        <v>10</v>
      </c>
      <c r="O29" s="38">
        <f t="shared" si="2"/>
        <v>2025</v>
      </c>
    </row>
    <row r="30" spans="2:15" ht="12.75" customHeight="1" x14ac:dyDescent="0.3">
      <c r="B30" s="202">
        <v>45951</v>
      </c>
      <c r="C30" s="202" t="s">
        <v>92</v>
      </c>
      <c r="D30" s="203" t="s">
        <v>271</v>
      </c>
      <c r="E30" s="210" t="s">
        <v>272</v>
      </c>
      <c r="F30" s="203" t="s">
        <v>224</v>
      </c>
      <c r="G30" s="205">
        <v>7.18</v>
      </c>
      <c r="H30" s="124">
        <v>0.21</v>
      </c>
      <c r="I30" s="140">
        <v>1.51</v>
      </c>
      <c r="J30" s="208" t="s">
        <v>95</v>
      </c>
      <c r="K30" s="209" t="s">
        <v>228</v>
      </c>
      <c r="L30" s="114"/>
      <c r="M30" s="91"/>
      <c r="N30" s="38">
        <f t="shared" si="1"/>
        <v>10</v>
      </c>
      <c r="O30" s="38">
        <f t="shared" si="2"/>
        <v>2025</v>
      </c>
    </row>
    <row r="31" spans="2:15" ht="12.75" customHeight="1" x14ac:dyDescent="0.3">
      <c r="B31" s="202">
        <v>45953</v>
      </c>
      <c r="C31" s="202" t="s">
        <v>92</v>
      </c>
      <c r="D31" s="203">
        <v>919876</v>
      </c>
      <c r="E31" s="210" t="s">
        <v>249</v>
      </c>
      <c r="F31" s="203" t="s">
        <v>243</v>
      </c>
      <c r="G31" s="205">
        <v>52.84</v>
      </c>
      <c r="H31" s="124">
        <v>0.21</v>
      </c>
      <c r="I31" s="140">
        <v>11.1</v>
      </c>
      <c r="J31" s="208" t="s">
        <v>95</v>
      </c>
      <c r="K31" s="209" t="s">
        <v>227</v>
      </c>
      <c r="L31" s="114" t="str">
        <f t="shared" si="0"/>
        <v>Datum buiten boekjaar</v>
      </c>
      <c r="M31" s="91"/>
      <c r="N31" s="38">
        <f t="shared" si="1"/>
        <v>10</v>
      </c>
      <c r="O31" s="38">
        <f t="shared" si="2"/>
        <v>2025</v>
      </c>
    </row>
    <row r="32" spans="2:15" ht="12.75" customHeight="1" x14ac:dyDescent="0.3">
      <c r="B32" s="202">
        <v>45964</v>
      </c>
      <c r="C32" s="202" t="s">
        <v>92</v>
      </c>
      <c r="D32" s="203" t="s">
        <v>273</v>
      </c>
      <c r="E32" s="210" t="s">
        <v>230</v>
      </c>
      <c r="F32" s="203" t="s">
        <v>220</v>
      </c>
      <c r="G32" s="205">
        <v>7.5</v>
      </c>
      <c r="H32" s="124">
        <v>0.21</v>
      </c>
      <c r="I32" s="140">
        <v>1.58</v>
      </c>
      <c r="J32" s="208" t="s">
        <v>95</v>
      </c>
      <c r="K32" s="209" t="s">
        <v>231</v>
      </c>
      <c r="L32" s="114" t="str">
        <f t="shared" si="0"/>
        <v>Datum buiten boekjaar</v>
      </c>
      <c r="M32" s="91"/>
      <c r="N32" s="38">
        <f t="shared" si="1"/>
        <v>11</v>
      </c>
      <c r="O32" s="38">
        <f t="shared" si="2"/>
        <v>2025</v>
      </c>
    </row>
    <row r="33" spans="2:17" ht="12.75" customHeight="1" x14ac:dyDescent="0.3">
      <c r="B33" s="202">
        <v>45992</v>
      </c>
      <c r="C33" s="202" t="s">
        <v>92</v>
      </c>
      <c r="D33" s="203" t="s">
        <v>274</v>
      </c>
      <c r="E33" s="210" t="s">
        <v>230</v>
      </c>
      <c r="F33" s="203" t="s">
        <v>220</v>
      </c>
      <c r="G33" s="211">
        <v>7.5</v>
      </c>
      <c r="H33" s="124">
        <v>0.21</v>
      </c>
      <c r="I33" s="140">
        <v>1.58</v>
      </c>
      <c r="J33" s="208" t="s">
        <v>95</v>
      </c>
      <c r="K33" s="209" t="s">
        <v>231</v>
      </c>
      <c r="L33" s="114" t="str">
        <f t="shared" si="0"/>
        <v>Datum buiten boekjaar</v>
      </c>
      <c r="M33" s="91"/>
      <c r="N33" s="38">
        <f t="shared" si="1"/>
        <v>12</v>
      </c>
      <c r="O33" s="38">
        <f t="shared" si="2"/>
        <v>2025</v>
      </c>
    </row>
    <row r="34" spans="2:17" ht="12.75" customHeight="1" x14ac:dyDescent="0.3">
      <c r="B34" s="202">
        <v>46016</v>
      </c>
      <c r="C34" s="202" t="s">
        <v>92</v>
      </c>
      <c r="D34" s="203">
        <v>945927</v>
      </c>
      <c r="E34" s="210" t="s">
        <v>249</v>
      </c>
      <c r="F34" s="203" t="s">
        <v>243</v>
      </c>
      <c r="G34" s="211">
        <v>52.84</v>
      </c>
      <c r="H34" s="124">
        <v>0.21</v>
      </c>
      <c r="I34" s="140">
        <v>11.1</v>
      </c>
      <c r="J34" s="208" t="s">
        <v>95</v>
      </c>
      <c r="K34" s="209" t="s">
        <v>227</v>
      </c>
      <c r="L34" s="114" t="str">
        <f t="shared" si="0"/>
        <v>Datum buiten boekjaar</v>
      </c>
      <c r="M34" s="91"/>
      <c r="N34" s="38">
        <f t="shared" si="1"/>
        <v>12</v>
      </c>
      <c r="O34" s="38">
        <f t="shared" si="2"/>
        <v>2025</v>
      </c>
    </row>
    <row r="35" spans="2:17" ht="12.75" customHeight="1" x14ac:dyDescent="0.3">
      <c r="B35" s="74">
        <v>46021</v>
      </c>
      <c r="C35" s="74" t="s">
        <v>92</v>
      </c>
      <c r="D35" s="123" t="s">
        <v>281</v>
      </c>
      <c r="E35" s="75" t="s">
        <v>240</v>
      </c>
      <c r="F35" s="203" t="s">
        <v>224</v>
      </c>
      <c r="G35" s="191">
        <v>7.48</v>
      </c>
      <c r="H35" s="124">
        <v>0.21</v>
      </c>
      <c r="I35" s="140">
        <v>1.57</v>
      </c>
      <c r="J35" s="208" t="s">
        <v>95</v>
      </c>
      <c r="K35" s="77" t="s">
        <v>231</v>
      </c>
      <c r="L35" s="114" t="str">
        <f t="shared" si="0"/>
        <v>Datum buiten boekjaar</v>
      </c>
      <c r="M35" s="91"/>
      <c r="N35" s="38">
        <f t="shared" si="1"/>
        <v>12</v>
      </c>
      <c r="O35" s="38">
        <f t="shared" si="2"/>
        <v>2025</v>
      </c>
    </row>
    <row r="36" spans="2:17" ht="12.75" customHeight="1" x14ac:dyDescent="0.3">
      <c r="B36" s="74"/>
      <c r="C36" s="74"/>
      <c r="D36" s="123"/>
      <c r="E36" s="75"/>
      <c r="F36" s="123"/>
      <c r="G36" s="191"/>
      <c r="H36" s="124"/>
      <c r="I36" s="140"/>
      <c r="J36" s="76"/>
      <c r="K36" s="77"/>
      <c r="L36" s="114" t="str">
        <f t="shared" si="0"/>
        <v/>
      </c>
      <c r="M36" s="91"/>
      <c r="N36" s="38" t="str">
        <f t="shared" si="1"/>
        <v/>
      </c>
      <c r="O36" s="38" t="str">
        <f t="shared" si="2"/>
        <v/>
      </c>
      <c r="Q36" s="1"/>
    </row>
    <row r="37" spans="2:17" ht="12.75" customHeight="1" x14ac:dyDescent="0.3">
      <c r="B37" s="74"/>
      <c r="C37" s="74"/>
      <c r="D37" s="123"/>
      <c r="E37" s="75"/>
      <c r="F37" s="123"/>
      <c r="G37" s="191"/>
      <c r="H37" s="124"/>
      <c r="I37" s="140"/>
      <c r="J37" s="76"/>
      <c r="K37" s="77"/>
      <c r="L37" s="114" t="str">
        <f t="shared" si="0"/>
        <v/>
      </c>
      <c r="M37" s="91"/>
      <c r="N37" s="38" t="str">
        <f t="shared" si="1"/>
        <v/>
      </c>
      <c r="O37" s="38" t="str">
        <f t="shared" si="2"/>
        <v/>
      </c>
    </row>
    <row r="38" spans="2:17" s="1" customFormat="1" ht="12.75" customHeight="1" x14ac:dyDescent="0.3">
      <c r="B38" s="74"/>
      <c r="C38" s="74"/>
      <c r="D38" s="123"/>
      <c r="E38" s="75"/>
      <c r="F38" s="123"/>
      <c r="G38" s="191"/>
      <c r="H38" s="124"/>
      <c r="I38" s="140"/>
      <c r="J38" s="76"/>
      <c r="K38" s="77"/>
      <c r="L38" s="114" t="str">
        <f t="shared" si="0"/>
        <v/>
      </c>
      <c r="M38" s="91"/>
      <c r="N38" s="38" t="str">
        <f t="shared" si="1"/>
        <v/>
      </c>
      <c r="O38" s="38" t="str">
        <f t="shared" si="2"/>
        <v/>
      </c>
    </row>
    <row r="39" spans="2:17" s="1" customFormat="1" ht="12.75" customHeight="1" x14ac:dyDescent="0.3">
      <c r="B39" s="74"/>
      <c r="C39" s="74"/>
      <c r="D39" s="123"/>
      <c r="E39" s="75"/>
      <c r="F39" s="123"/>
      <c r="G39" s="191"/>
      <c r="H39" s="124"/>
      <c r="I39" s="140"/>
      <c r="J39" s="76"/>
      <c r="K39" s="77"/>
      <c r="L39" s="114" t="str">
        <f t="shared" si="0"/>
        <v/>
      </c>
      <c r="M39" s="91"/>
      <c r="N39" s="38" t="str">
        <f t="shared" si="1"/>
        <v/>
      </c>
      <c r="O39" s="38" t="str">
        <f t="shared" si="2"/>
        <v/>
      </c>
    </row>
    <row r="40" spans="2:17" s="1" customFormat="1" ht="12.75" customHeight="1" x14ac:dyDescent="0.3">
      <c r="B40" s="74"/>
      <c r="C40" s="74"/>
      <c r="D40" s="123"/>
      <c r="E40" s="216"/>
      <c r="F40" s="123"/>
      <c r="G40" s="191"/>
      <c r="H40" s="124"/>
      <c r="I40" s="140"/>
      <c r="J40" s="76"/>
      <c r="K40" s="77"/>
      <c r="L40" s="114" t="str">
        <f t="shared" si="0"/>
        <v/>
      </c>
      <c r="M40" s="91"/>
      <c r="N40" s="38" t="str">
        <f t="shared" si="1"/>
        <v/>
      </c>
      <c r="O40" s="38" t="str">
        <f t="shared" si="2"/>
        <v/>
      </c>
    </row>
    <row r="41" spans="2:17" ht="12.75" customHeight="1" x14ac:dyDescent="0.3">
      <c r="B41" s="74"/>
      <c r="C41" s="74"/>
      <c r="D41" s="123"/>
      <c r="E41" s="75"/>
      <c r="F41" s="123"/>
      <c r="G41" s="191"/>
      <c r="H41" s="124"/>
      <c r="I41" s="140"/>
      <c r="J41" s="76"/>
      <c r="K41" s="77"/>
      <c r="L41" s="114" t="str">
        <f t="shared" si="0"/>
        <v/>
      </c>
      <c r="M41" s="91"/>
      <c r="N41" s="38" t="str">
        <f t="shared" si="1"/>
        <v/>
      </c>
      <c r="O41" s="38" t="str">
        <f t="shared" si="2"/>
        <v/>
      </c>
    </row>
    <row r="42" spans="2:17" ht="12.75" customHeight="1" x14ac:dyDescent="0.3">
      <c r="B42" s="74"/>
      <c r="C42" s="74"/>
      <c r="D42" s="123"/>
      <c r="E42" s="75"/>
      <c r="F42" s="123"/>
      <c r="G42" s="191"/>
      <c r="H42" s="124"/>
      <c r="I42" s="140"/>
      <c r="J42" s="76"/>
      <c r="K42" s="77"/>
      <c r="L42" s="114" t="str">
        <f t="shared" si="0"/>
        <v/>
      </c>
      <c r="M42" s="91"/>
      <c r="N42" s="38" t="str">
        <f t="shared" si="1"/>
        <v/>
      </c>
      <c r="O42" s="38" t="str">
        <f t="shared" si="2"/>
        <v/>
      </c>
    </row>
    <row r="43" spans="2:17" ht="12.75" customHeight="1" x14ac:dyDescent="0.3">
      <c r="B43" s="74"/>
      <c r="C43" s="74"/>
      <c r="D43" s="123"/>
      <c r="E43" s="75"/>
      <c r="F43" s="123"/>
      <c r="G43" s="191"/>
      <c r="H43" s="124"/>
      <c r="I43" s="140"/>
      <c r="J43" s="76"/>
      <c r="K43" s="77"/>
      <c r="L43" s="114" t="str">
        <f t="shared" si="0"/>
        <v/>
      </c>
      <c r="M43" s="91"/>
      <c r="N43" s="38" t="str">
        <f t="shared" si="1"/>
        <v/>
      </c>
      <c r="O43" s="38" t="str">
        <f t="shared" si="2"/>
        <v/>
      </c>
    </row>
    <row r="44" spans="2:17" ht="12.75" customHeight="1" x14ac:dyDescent="0.3">
      <c r="B44" s="74"/>
      <c r="C44" s="74"/>
      <c r="D44" s="123"/>
      <c r="E44" s="75"/>
      <c r="F44" s="123"/>
      <c r="G44" s="191"/>
      <c r="H44" s="124"/>
      <c r="I44" s="140"/>
      <c r="J44" s="76"/>
      <c r="K44" s="77"/>
      <c r="L44" s="114" t="str">
        <f t="shared" si="0"/>
        <v/>
      </c>
      <c r="M44" s="91"/>
      <c r="N44" s="38" t="str">
        <f t="shared" si="1"/>
        <v/>
      </c>
      <c r="O44" s="38" t="str">
        <f t="shared" si="2"/>
        <v/>
      </c>
    </row>
    <row r="45" spans="2:17" ht="12.75" customHeight="1" x14ac:dyDescent="0.3">
      <c r="B45" s="74"/>
      <c r="C45" s="74"/>
      <c r="D45" s="123"/>
      <c r="E45" s="75"/>
      <c r="F45" s="123"/>
      <c r="G45" s="191"/>
      <c r="H45" s="124"/>
      <c r="I45" s="140"/>
      <c r="J45" s="76"/>
      <c r="K45" s="77"/>
      <c r="L45" s="114" t="str">
        <f t="shared" si="0"/>
        <v/>
      </c>
      <c r="M45" s="91"/>
      <c r="N45" s="38" t="str">
        <f t="shared" si="1"/>
        <v/>
      </c>
      <c r="O45" s="38" t="str">
        <f t="shared" si="2"/>
        <v/>
      </c>
    </row>
    <row r="46" spans="2:17" ht="12.75" customHeight="1" x14ac:dyDescent="0.3">
      <c r="B46" s="74"/>
      <c r="C46" s="74"/>
      <c r="D46" s="123"/>
      <c r="E46" s="75"/>
      <c r="F46" s="123"/>
      <c r="G46" s="191"/>
      <c r="H46" s="124"/>
      <c r="I46" s="140"/>
      <c r="J46" s="76"/>
      <c r="K46" s="77"/>
      <c r="L46" s="114" t="str">
        <f t="shared" si="0"/>
        <v/>
      </c>
      <c r="M46" s="91"/>
      <c r="N46" s="38" t="str">
        <f t="shared" si="1"/>
        <v/>
      </c>
      <c r="O46" s="38" t="str">
        <f t="shared" si="2"/>
        <v/>
      </c>
    </row>
    <row r="47" spans="2:17" ht="12.75" customHeight="1" x14ac:dyDescent="0.3">
      <c r="B47" s="74"/>
      <c r="C47" s="74"/>
      <c r="D47" s="123"/>
      <c r="E47" s="75"/>
      <c r="F47" s="123"/>
      <c r="G47" s="191"/>
      <c r="H47" s="124"/>
      <c r="I47" s="140"/>
      <c r="J47" s="76"/>
      <c r="K47" s="77"/>
      <c r="L47" s="114" t="str">
        <f t="shared" si="0"/>
        <v/>
      </c>
      <c r="M47" s="91"/>
      <c r="N47" s="38" t="str">
        <f t="shared" si="1"/>
        <v/>
      </c>
      <c r="O47" s="38" t="str">
        <f t="shared" si="2"/>
        <v/>
      </c>
    </row>
    <row r="48" spans="2:17" ht="12.75" customHeight="1" x14ac:dyDescent="0.3">
      <c r="B48" s="74"/>
      <c r="C48" s="74"/>
      <c r="D48" s="123"/>
      <c r="E48" s="75"/>
      <c r="F48" s="123"/>
      <c r="G48" s="191"/>
      <c r="H48" s="124"/>
      <c r="I48" s="140"/>
      <c r="J48" s="76"/>
      <c r="K48" s="77"/>
      <c r="L48" s="114" t="str">
        <f t="shared" si="0"/>
        <v/>
      </c>
      <c r="M48" s="91"/>
      <c r="N48" s="38" t="str">
        <f t="shared" si="1"/>
        <v/>
      </c>
      <c r="O48" s="38" t="str">
        <f t="shared" si="2"/>
        <v/>
      </c>
    </row>
    <row r="49" spans="2:15" ht="12.75" customHeight="1" x14ac:dyDescent="0.3">
      <c r="B49" s="74"/>
      <c r="C49" s="74"/>
      <c r="D49" s="123"/>
      <c r="E49" s="75"/>
      <c r="F49" s="123"/>
      <c r="G49" s="191"/>
      <c r="H49" s="124"/>
      <c r="I49" s="140"/>
      <c r="J49" s="76"/>
      <c r="K49" s="77"/>
      <c r="L49" s="114" t="str">
        <f t="shared" si="0"/>
        <v/>
      </c>
      <c r="M49" s="91"/>
      <c r="N49" s="38" t="str">
        <f t="shared" si="1"/>
        <v/>
      </c>
      <c r="O49" s="38" t="str">
        <f t="shared" si="2"/>
        <v/>
      </c>
    </row>
    <row r="50" spans="2:15" ht="12.75" customHeight="1" x14ac:dyDescent="0.3">
      <c r="B50" s="74"/>
      <c r="C50" s="74"/>
      <c r="D50" s="123"/>
      <c r="E50" s="75"/>
      <c r="F50" s="123"/>
      <c r="G50" s="191"/>
      <c r="H50" s="124"/>
      <c r="I50" s="140"/>
      <c r="J50" s="76"/>
      <c r="K50" s="77"/>
      <c r="L50" s="114" t="str">
        <f t="shared" si="0"/>
        <v/>
      </c>
      <c r="M50" s="91"/>
      <c r="N50" s="38" t="str">
        <f t="shared" si="1"/>
        <v/>
      </c>
      <c r="O50" s="38" t="str">
        <f t="shared" si="2"/>
        <v/>
      </c>
    </row>
    <row r="51" spans="2:15" ht="12.75" customHeight="1" x14ac:dyDescent="0.3">
      <c r="B51" s="74"/>
      <c r="C51" s="74"/>
      <c r="D51" s="123"/>
      <c r="E51" s="75"/>
      <c r="F51" s="123"/>
      <c r="G51" s="191"/>
      <c r="H51" s="124"/>
      <c r="I51" s="140"/>
      <c r="J51" s="76"/>
      <c r="K51" s="77"/>
      <c r="L51" s="114" t="str">
        <f t="shared" si="0"/>
        <v/>
      </c>
      <c r="M51" s="91"/>
      <c r="N51" s="38" t="str">
        <f t="shared" si="1"/>
        <v/>
      </c>
      <c r="O51" s="38" t="str">
        <f t="shared" si="2"/>
        <v/>
      </c>
    </row>
    <row r="52" spans="2:15" ht="12.75" customHeight="1" x14ac:dyDescent="0.3">
      <c r="B52" s="74"/>
      <c r="C52" s="74"/>
      <c r="D52" s="123"/>
      <c r="E52" s="75"/>
      <c r="F52" s="123"/>
      <c r="G52" s="191"/>
      <c r="H52" s="124"/>
      <c r="I52" s="140"/>
      <c r="J52" s="76"/>
      <c r="K52" s="77"/>
      <c r="L52" s="114" t="str">
        <f t="shared" si="0"/>
        <v/>
      </c>
      <c r="M52" s="91"/>
      <c r="N52" s="38" t="str">
        <f t="shared" si="1"/>
        <v/>
      </c>
      <c r="O52" s="38" t="str">
        <f t="shared" si="2"/>
        <v/>
      </c>
    </row>
    <row r="53" spans="2:15" ht="12.75" customHeight="1" x14ac:dyDescent="0.3">
      <c r="B53" s="74"/>
      <c r="C53" s="74"/>
      <c r="D53" s="123"/>
      <c r="E53" s="75"/>
      <c r="F53" s="123"/>
      <c r="G53" s="191"/>
      <c r="H53" s="124"/>
      <c r="I53" s="140"/>
      <c r="J53" s="76"/>
      <c r="K53" s="77"/>
      <c r="L53" s="114" t="str">
        <f t="shared" si="0"/>
        <v/>
      </c>
      <c r="M53" s="91"/>
      <c r="N53" s="38" t="str">
        <f t="shared" si="1"/>
        <v/>
      </c>
      <c r="O53" s="38" t="str">
        <f t="shared" si="2"/>
        <v/>
      </c>
    </row>
    <row r="54" spans="2:15" ht="12.75" customHeight="1" x14ac:dyDescent="0.3">
      <c r="B54" s="74"/>
      <c r="C54" s="74"/>
      <c r="D54" s="123"/>
      <c r="E54" s="75"/>
      <c r="F54" s="123"/>
      <c r="G54" s="191"/>
      <c r="H54" s="124"/>
      <c r="I54" s="140"/>
      <c r="J54" s="76"/>
      <c r="K54" s="77"/>
      <c r="L54" s="114" t="str">
        <f t="shared" si="0"/>
        <v/>
      </c>
      <c r="M54" s="91"/>
      <c r="N54" s="38" t="str">
        <f t="shared" si="1"/>
        <v/>
      </c>
      <c r="O54" s="38" t="str">
        <f t="shared" si="2"/>
        <v/>
      </c>
    </row>
    <row r="55" spans="2:15" ht="12.75" customHeight="1" x14ac:dyDescent="0.3">
      <c r="B55" s="74"/>
      <c r="C55" s="74"/>
      <c r="D55" s="123"/>
      <c r="E55" s="75"/>
      <c r="F55" s="123"/>
      <c r="G55" s="191"/>
      <c r="H55" s="124"/>
      <c r="I55" s="140"/>
      <c r="J55" s="76"/>
      <c r="K55" s="77"/>
      <c r="L55" s="114" t="str">
        <f t="shared" si="0"/>
        <v/>
      </c>
      <c r="M55" s="91"/>
      <c r="N55" s="38" t="str">
        <f t="shared" si="1"/>
        <v/>
      </c>
      <c r="O55" s="38" t="str">
        <f t="shared" si="2"/>
        <v/>
      </c>
    </row>
    <row r="56" spans="2:15" ht="12.75" customHeight="1" x14ac:dyDescent="0.3">
      <c r="B56" s="74"/>
      <c r="C56" s="74"/>
      <c r="D56" s="123"/>
      <c r="E56" s="75"/>
      <c r="F56" s="123"/>
      <c r="G56" s="191"/>
      <c r="H56" s="124"/>
      <c r="I56" s="140"/>
      <c r="J56" s="76"/>
      <c r="K56" s="77"/>
      <c r="L56" s="114" t="str">
        <f t="shared" si="0"/>
        <v/>
      </c>
      <c r="M56" s="91"/>
      <c r="N56" s="38" t="str">
        <f t="shared" si="1"/>
        <v/>
      </c>
      <c r="O56" s="38" t="str">
        <f t="shared" si="2"/>
        <v/>
      </c>
    </row>
    <row r="57" spans="2:15" ht="12.75" customHeight="1" x14ac:dyDescent="0.3">
      <c r="B57" s="74"/>
      <c r="C57" s="74"/>
      <c r="D57" s="123"/>
      <c r="E57" s="75"/>
      <c r="F57" s="123"/>
      <c r="G57" s="191"/>
      <c r="H57" s="124"/>
      <c r="I57" s="140"/>
      <c r="J57" s="76"/>
      <c r="K57" s="77"/>
      <c r="L57" s="114" t="str">
        <f t="shared" si="0"/>
        <v/>
      </c>
      <c r="M57" s="91"/>
      <c r="N57" s="38" t="str">
        <f t="shared" si="1"/>
        <v/>
      </c>
      <c r="O57" s="38" t="str">
        <f t="shared" si="2"/>
        <v/>
      </c>
    </row>
    <row r="58" spans="2:15" ht="12.75" customHeight="1" x14ac:dyDescent="0.3">
      <c r="B58" s="74"/>
      <c r="C58" s="74"/>
      <c r="D58" s="123"/>
      <c r="E58" s="75"/>
      <c r="F58" s="123"/>
      <c r="G58" s="191"/>
      <c r="H58" s="124"/>
      <c r="I58" s="140"/>
      <c r="J58" s="76"/>
      <c r="K58" s="77"/>
      <c r="L58" s="114" t="str">
        <f t="shared" si="0"/>
        <v/>
      </c>
      <c r="M58" s="91"/>
      <c r="N58" s="38" t="str">
        <f t="shared" si="1"/>
        <v/>
      </c>
      <c r="O58" s="38" t="str">
        <f t="shared" si="2"/>
        <v/>
      </c>
    </row>
    <row r="59" spans="2:15" ht="12.75" customHeight="1" x14ac:dyDescent="0.3">
      <c r="B59" s="74"/>
      <c r="C59" s="74"/>
      <c r="D59" s="123"/>
      <c r="E59" s="75"/>
      <c r="F59" s="123"/>
      <c r="G59" s="191"/>
      <c r="H59" s="124"/>
      <c r="I59" s="140"/>
      <c r="J59" s="76"/>
      <c r="K59" s="77"/>
      <c r="L59" s="114" t="str">
        <f t="shared" si="0"/>
        <v/>
      </c>
      <c r="M59" s="91"/>
      <c r="N59" s="38" t="str">
        <f t="shared" si="1"/>
        <v/>
      </c>
      <c r="O59" s="38" t="str">
        <f t="shared" si="2"/>
        <v/>
      </c>
    </row>
    <row r="60" spans="2:15" ht="12.75" customHeight="1" x14ac:dyDescent="0.3">
      <c r="B60" s="74"/>
      <c r="C60" s="74"/>
      <c r="D60" s="123"/>
      <c r="E60" s="75"/>
      <c r="F60" s="123"/>
      <c r="G60" s="191"/>
      <c r="H60" s="124"/>
      <c r="I60" s="140"/>
      <c r="J60" s="76"/>
      <c r="K60" s="77"/>
      <c r="L60" s="114" t="str">
        <f t="shared" si="0"/>
        <v/>
      </c>
      <c r="M60" s="91"/>
      <c r="N60" s="38" t="str">
        <f t="shared" si="1"/>
        <v/>
      </c>
      <c r="O60" s="38" t="str">
        <f t="shared" si="2"/>
        <v/>
      </c>
    </row>
    <row r="61" spans="2:15" ht="12.75" customHeight="1" x14ac:dyDescent="0.3">
      <c r="B61" s="74"/>
      <c r="C61" s="74"/>
      <c r="D61" s="123"/>
      <c r="E61" s="75"/>
      <c r="F61" s="123"/>
      <c r="G61" s="191"/>
      <c r="H61" s="124"/>
      <c r="I61" s="140"/>
      <c r="J61" s="76"/>
      <c r="K61" s="77"/>
      <c r="L61" s="114" t="str">
        <f t="shared" si="0"/>
        <v/>
      </c>
      <c r="M61" s="91"/>
      <c r="N61" s="38" t="str">
        <f t="shared" si="1"/>
        <v/>
      </c>
      <c r="O61" s="38" t="str">
        <f t="shared" si="2"/>
        <v/>
      </c>
    </row>
    <row r="62" spans="2:15" ht="12.75" customHeight="1" x14ac:dyDescent="0.3">
      <c r="B62" s="74"/>
      <c r="C62" s="74"/>
      <c r="D62" s="123"/>
      <c r="E62" s="75"/>
      <c r="F62" s="123"/>
      <c r="G62" s="191"/>
      <c r="H62" s="124"/>
      <c r="I62" s="140"/>
      <c r="J62" s="76"/>
      <c r="K62" s="77"/>
      <c r="L62" s="114" t="str">
        <f t="shared" si="0"/>
        <v/>
      </c>
      <c r="M62" s="91"/>
      <c r="N62" s="38" t="str">
        <f t="shared" si="1"/>
        <v/>
      </c>
      <c r="O62" s="38" t="str">
        <f t="shared" si="2"/>
        <v/>
      </c>
    </row>
    <row r="63" spans="2:15" ht="12.75" customHeight="1" x14ac:dyDescent="0.3">
      <c r="B63" s="74"/>
      <c r="C63" s="74"/>
      <c r="D63" s="123"/>
      <c r="E63" s="75"/>
      <c r="F63" s="123"/>
      <c r="G63" s="191"/>
      <c r="H63" s="124"/>
      <c r="I63" s="140"/>
      <c r="J63" s="76"/>
      <c r="K63" s="77"/>
      <c r="L63" s="114" t="str">
        <f t="shared" si="0"/>
        <v/>
      </c>
      <c r="M63" s="91"/>
      <c r="N63" s="38" t="str">
        <f t="shared" si="1"/>
        <v/>
      </c>
      <c r="O63" s="38" t="str">
        <f t="shared" si="2"/>
        <v/>
      </c>
    </row>
    <row r="64" spans="2:15" ht="12.75" customHeight="1" x14ac:dyDescent="0.3">
      <c r="B64" s="74"/>
      <c r="C64" s="74"/>
      <c r="D64" s="123"/>
      <c r="E64" s="75"/>
      <c r="F64" s="123"/>
      <c r="G64" s="191"/>
      <c r="H64" s="124"/>
      <c r="I64" s="140"/>
      <c r="J64" s="76"/>
      <c r="K64" s="77"/>
      <c r="L64" s="114" t="str">
        <f t="shared" si="0"/>
        <v/>
      </c>
      <c r="M64" s="91"/>
      <c r="N64" s="38" t="str">
        <f t="shared" si="1"/>
        <v/>
      </c>
      <c r="O64" s="38" t="str">
        <f t="shared" si="2"/>
        <v/>
      </c>
    </row>
    <row r="65" spans="2:15" ht="12.75" customHeight="1" x14ac:dyDescent="0.3">
      <c r="B65" s="74"/>
      <c r="C65" s="74"/>
      <c r="D65" s="123"/>
      <c r="E65" s="75"/>
      <c r="F65" s="123"/>
      <c r="G65" s="191"/>
      <c r="H65" s="124"/>
      <c r="I65" s="140"/>
      <c r="J65" s="76"/>
      <c r="K65" s="77"/>
      <c r="L65" s="114" t="str">
        <f t="shared" si="0"/>
        <v/>
      </c>
      <c r="M65" s="91"/>
      <c r="N65" s="38" t="str">
        <f t="shared" si="1"/>
        <v/>
      </c>
      <c r="O65" s="38" t="str">
        <f t="shared" si="2"/>
        <v/>
      </c>
    </row>
    <row r="66" spans="2:15" ht="12.75" customHeight="1" x14ac:dyDescent="0.3">
      <c r="B66" s="74"/>
      <c r="C66" s="74"/>
      <c r="D66" s="123"/>
      <c r="E66" s="75"/>
      <c r="F66" s="123"/>
      <c r="G66" s="191"/>
      <c r="H66" s="124"/>
      <c r="I66" s="140"/>
      <c r="J66" s="76"/>
      <c r="K66" s="77"/>
      <c r="L66" s="114" t="str">
        <f t="shared" si="0"/>
        <v/>
      </c>
      <c r="M66" s="91"/>
      <c r="N66" s="38" t="str">
        <f t="shared" si="1"/>
        <v/>
      </c>
      <c r="O66" s="38" t="str">
        <f t="shared" si="2"/>
        <v/>
      </c>
    </row>
    <row r="67" spans="2:15" ht="12.75" customHeight="1" x14ac:dyDescent="0.3">
      <c r="B67" s="74"/>
      <c r="C67" s="74"/>
      <c r="D67" s="123"/>
      <c r="E67" s="75"/>
      <c r="F67" s="123"/>
      <c r="G67" s="191"/>
      <c r="H67" s="124"/>
      <c r="I67" s="140"/>
      <c r="J67" s="76"/>
      <c r="K67" s="77"/>
      <c r="L67" s="114" t="str">
        <f t="shared" si="0"/>
        <v/>
      </c>
      <c r="M67" s="91"/>
      <c r="N67" s="38" t="str">
        <f t="shared" si="1"/>
        <v/>
      </c>
      <c r="O67" s="38" t="str">
        <f t="shared" si="2"/>
        <v/>
      </c>
    </row>
    <row r="68" spans="2:15" ht="12.75" customHeight="1" x14ac:dyDescent="0.3">
      <c r="B68" s="74"/>
      <c r="C68" s="74"/>
      <c r="D68" s="123"/>
      <c r="E68" s="75"/>
      <c r="F68" s="123"/>
      <c r="G68" s="191"/>
      <c r="H68" s="124"/>
      <c r="I68" s="140"/>
      <c r="J68" s="76"/>
      <c r="K68" s="77"/>
      <c r="L68" s="114" t="str">
        <f t="shared" si="0"/>
        <v/>
      </c>
      <c r="M68" s="91"/>
      <c r="N68" s="38" t="str">
        <f t="shared" si="1"/>
        <v/>
      </c>
      <c r="O68" s="38" t="str">
        <f t="shared" si="2"/>
        <v/>
      </c>
    </row>
    <row r="69" spans="2:15" ht="12.75" customHeight="1" x14ac:dyDescent="0.3">
      <c r="B69" s="74"/>
      <c r="C69" s="74"/>
      <c r="D69" s="123"/>
      <c r="E69" s="75"/>
      <c r="F69" s="123"/>
      <c r="G69" s="191"/>
      <c r="H69" s="124"/>
      <c r="I69" s="140"/>
      <c r="J69" s="76"/>
      <c r="K69" s="77"/>
      <c r="L69" s="114" t="str">
        <f t="shared" si="0"/>
        <v/>
      </c>
      <c r="M69" s="91"/>
      <c r="N69" s="38" t="str">
        <f t="shared" si="1"/>
        <v/>
      </c>
      <c r="O69" s="38" t="str">
        <f t="shared" si="2"/>
        <v/>
      </c>
    </row>
    <row r="70" spans="2:15" ht="12.75" customHeight="1" x14ac:dyDescent="0.3">
      <c r="B70" s="74"/>
      <c r="C70" s="74"/>
      <c r="D70" s="123"/>
      <c r="E70" s="75"/>
      <c r="F70" s="123"/>
      <c r="G70" s="191"/>
      <c r="H70" s="124"/>
      <c r="I70" s="140"/>
      <c r="J70" s="76"/>
      <c r="K70" s="77"/>
      <c r="L70" s="114" t="str">
        <f t="shared" si="0"/>
        <v/>
      </c>
      <c r="M70" s="91"/>
      <c r="N70" s="38" t="str">
        <f t="shared" si="1"/>
        <v/>
      </c>
      <c r="O70" s="38" t="str">
        <f t="shared" si="2"/>
        <v/>
      </c>
    </row>
    <row r="71" spans="2:15" ht="12.75" customHeight="1" x14ac:dyDescent="0.3">
      <c r="B71" s="74"/>
      <c r="C71" s="74"/>
      <c r="D71" s="123"/>
      <c r="E71" s="75"/>
      <c r="F71" s="123"/>
      <c r="G71" s="191"/>
      <c r="H71" s="124"/>
      <c r="I71" s="140"/>
      <c r="J71" s="76"/>
      <c r="K71" s="77"/>
      <c r="L71" s="114" t="str">
        <f t="shared" ref="L71:L134" si="3">IF(AND(OR($B71="",$C71="",$G71="",$H71="",$J71="",$K71="",AND($C71="Factuur",$J71="Openstaand",$F71="")),NOT(AND($B71="",$C71="",$G71="",$H71="",$J71="",$K71=""))),"Er ontbreken gegevens",IF(AND(NOT(ISBLANK($B71)),$O71&lt;&gt;$K$1),IF(AND($O71&lt;$K$1,$J71="Openstaand"),"Op beginbalans","Datum buiten boekjaar"),""))</f>
        <v/>
      </c>
      <c r="M71" s="91"/>
      <c r="N71" s="38" t="str">
        <f t="shared" ref="N71:N134" si="4">IFERROR(IF($B71="","",MONTH($B$6:$B$500)),0)</f>
        <v/>
      </c>
      <c r="O71" s="38" t="str">
        <f t="shared" ref="O71:O134" si="5">IFERROR(IF($B71="","",YEAR($B$6:$B$500)),0)</f>
        <v/>
      </c>
    </row>
    <row r="72" spans="2:15" ht="12.75" customHeight="1" x14ac:dyDescent="0.3">
      <c r="B72" s="74"/>
      <c r="C72" s="74"/>
      <c r="D72" s="123"/>
      <c r="E72" s="75"/>
      <c r="F72" s="123"/>
      <c r="G72" s="191"/>
      <c r="H72" s="124"/>
      <c r="I72" s="140"/>
      <c r="J72" s="76"/>
      <c r="K72" s="77"/>
      <c r="L72" s="114" t="str">
        <f t="shared" si="3"/>
        <v/>
      </c>
      <c r="M72" s="91"/>
      <c r="N72" s="38" t="str">
        <f t="shared" si="4"/>
        <v/>
      </c>
      <c r="O72" s="38" t="str">
        <f t="shared" si="5"/>
        <v/>
      </c>
    </row>
    <row r="73" spans="2:15" ht="12.75" customHeight="1" x14ac:dyDescent="0.3">
      <c r="B73" s="74"/>
      <c r="C73" s="74"/>
      <c r="D73" s="123"/>
      <c r="E73" s="75"/>
      <c r="F73" s="123"/>
      <c r="G73" s="191"/>
      <c r="H73" s="124"/>
      <c r="I73" s="140"/>
      <c r="J73" s="76"/>
      <c r="K73" s="77"/>
      <c r="L73" s="114" t="str">
        <f t="shared" si="3"/>
        <v/>
      </c>
      <c r="M73" s="91"/>
      <c r="N73" s="38" t="str">
        <f t="shared" si="4"/>
        <v/>
      </c>
      <c r="O73" s="38" t="str">
        <f t="shared" si="5"/>
        <v/>
      </c>
    </row>
    <row r="74" spans="2:15" ht="12.75" customHeight="1" x14ac:dyDescent="0.3">
      <c r="B74" s="74"/>
      <c r="C74" s="74"/>
      <c r="D74" s="123"/>
      <c r="E74" s="75"/>
      <c r="F74" s="123"/>
      <c r="G74" s="191"/>
      <c r="H74" s="124"/>
      <c r="I74" s="140"/>
      <c r="J74" s="76"/>
      <c r="K74" s="77"/>
      <c r="L74" s="114" t="str">
        <f t="shared" si="3"/>
        <v/>
      </c>
      <c r="M74" s="91"/>
      <c r="N74" s="38" t="str">
        <f t="shared" si="4"/>
        <v/>
      </c>
      <c r="O74" s="38" t="str">
        <f t="shared" si="5"/>
        <v/>
      </c>
    </row>
    <row r="75" spans="2:15" ht="12.75" customHeight="1" x14ac:dyDescent="0.3">
      <c r="B75" s="74"/>
      <c r="C75" s="74"/>
      <c r="D75" s="123"/>
      <c r="E75" s="75"/>
      <c r="F75" s="123"/>
      <c r="G75" s="191"/>
      <c r="H75" s="124"/>
      <c r="I75" s="140"/>
      <c r="J75" s="76"/>
      <c r="K75" s="77"/>
      <c r="L75" s="114" t="str">
        <f t="shared" si="3"/>
        <v/>
      </c>
      <c r="M75" s="91"/>
      <c r="N75" s="38" t="str">
        <f t="shared" si="4"/>
        <v/>
      </c>
      <c r="O75" s="38" t="str">
        <f t="shared" si="5"/>
        <v/>
      </c>
    </row>
    <row r="76" spans="2:15" ht="12.75" customHeight="1" x14ac:dyDescent="0.3">
      <c r="B76" s="74"/>
      <c r="C76" s="74"/>
      <c r="D76" s="123"/>
      <c r="E76" s="75"/>
      <c r="F76" s="123"/>
      <c r="G76" s="191"/>
      <c r="H76" s="124"/>
      <c r="I76" s="140"/>
      <c r="J76" s="76"/>
      <c r="K76" s="77"/>
      <c r="L76" s="114" t="str">
        <f t="shared" si="3"/>
        <v/>
      </c>
      <c r="M76" s="91"/>
      <c r="N76" s="38" t="str">
        <f t="shared" si="4"/>
        <v/>
      </c>
      <c r="O76" s="38" t="str">
        <f t="shared" si="5"/>
        <v/>
      </c>
    </row>
    <row r="77" spans="2:15" ht="12.75" customHeight="1" x14ac:dyDescent="0.3">
      <c r="B77" s="74"/>
      <c r="C77" s="74"/>
      <c r="D77" s="123"/>
      <c r="E77" s="75"/>
      <c r="F77" s="123"/>
      <c r="G77" s="191"/>
      <c r="H77" s="124"/>
      <c r="I77" s="140"/>
      <c r="J77" s="76"/>
      <c r="K77" s="77"/>
      <c r="L77" s="114" t="str">
        <f t="shared" si="3"/>
        <v/>
      </c>
      <c r="M77" s="91"/>
      <c r="N77" s="38" t="str">
        <f t="shared" si="4"/>
        <v/>
      </c>
      <c r="O77" s="38" t="str">
        <f t="shared" si="5"/>
        <v/>
      </c>
    </row>
    <row r="78" spans="2:15" ht="12.75" customHeight="1" x14ac:dyDescent="0.3">
      <c r="B78" s="74"/>
      <c r="C78" s="74"/>
      <c r="D78" s="123"/>
      <c r="E78" s="75"/>
      <c r="F78" s="123"/>
      <c r="G78" s="191"/>
      <c r="H78" s="124"/>
      <c r="I78" s="140"/>
      <c r="J78" s="76"/>
      <c r="K78" s="77"/>
      <c r="L78" s="114" t="str">
        <f t="shared" si="3"/>
        <v/>
      </c>
      <c r="M78" s="91"/>
      <c r="N78" s="38" t="str">
        <f t="shared" si="4"/>
        <v/>
      </c>
      <c r="O78" s="38" t="str">
        <f t="shared" si="5"/>
        <v/>
      </c>
    </row>
    <row r="79" spans="2:15" ht="12.75" customHeight="1" x14ac:dyDescent="0.3">
      <c r="B79" s="74"/>
      <c r="C79" s="74"/>
      <c r="D79" s="123"/>
      <c r="E79" s="75"/>
      <c r="F79" s="123"/>
      <c r="G79" s="191"/>
      <c r="H79" s="124"/>
      <c r="I79" s="140"/>
      <c r="J79" s="76"/>
      <c r="K79" s="77"/>
      <c r="L79" s="114" t="str">
        <f t="shared" si="3"/>
        <v/>
      </c>
      <c r="M79" s="91"/>
      <c r="N79" s="38" t="str">
        <f t="shared" si="4"/>
        <v/>
      </c>
      <c r="O79" s="38" t="str">
        <f t="shared" si="5"/>
        <v/>
      </c>
    </row>
    <row r="80" spans="2:15" ht="12.75" customHeight="1" x14ac:dyDescent="0.3">
      <c r="B80" s="74"/>
      <c r="C80" s="74"/>
      <c r="D80" s="123"/>
      <c r="E80" s="75"/>
      <c r="F80" s="123"/>
      <c r="G80" s="191"/>
      <c r="H80" s="124"/>
      <c r="I80" s="140"/>
      <c r="J80" s="76"/>
      <c r="K80" s="77"/>
      <c r="L80" s="114" t="str">
        <f t="shared" si="3"/>
        <v/>
      </c>
      <c r="M80" s="91"/>
      <c r="N80" s="38" t="str">
        <f t="shared" si="4"/>
        <v/>
      </c>
      <c r="O80" s="38" t="str">
        <f t="shared" si="5"/>
        <v/>
      </c>
    </row>
    <row r="81" spans="2:15" ht="12.75" customHeight="1" x14ac:dyDescent="0.3">
      <c r="B81" s="74"/>
      <c r="C81" s="74"/>
      <c r="D81" s="123"/>
      <c r="E81" s="75"/>
      <c r="F81" s="123"/>
      <c r="G81" s="191"/>
      <c r="H81" s="124"/>
      <c r="I81" s="140"/>
      <c r="J81" s="76"/>
      <c r="K81" s="77"/>
      <c r="L81" s="114" t="str">
        <f t="shared" si="3"/>
        <v/>
      </c>
      <c r="M81" s="91"/>
      <c r="N81" s="38" t="str">
        <f t="shared" si="4"/>
        <v/>
      </c>
      <c r="O81" s="38" t="str">
        <f t="shared" si="5"/>
        <v/>
      </c>
    </row>
    <row r="82" spans="2:15" ht="12.75" customHeight="1" x14ac:dyDescent="0.3">
      <c r="B82" s="74"/>
      <c r="C82" s="74"/>
      <c r="D82" s="123"/>
      <c r="E82" s="75"/>
      <c r="F82" s="123"/>
      <c r="G82" s="191"/>
      <c r="H82" s="124"/>
      <c r="I82" s="140"/>
      <c r="J82" s="76"/>
      <c r="K82" s="77"/>
      <c r="L82" s="114" t="str">
        <f t="shared" si="3"/>
        <v/>
      </c>
      <c r="M82" s="91"/>
      <c r="N82" s="38" t="str">
        <f t="shared" si="4"/>
        <v/>
      </c>
      <c r="O82" s="38" t="str">
        <f t="shared" si="5"/>
        <v/>
      </c>
    </row>
    <row r="83" spans="2:15" ht="12.75" customHeight="1" x14ac:dyDescent="0.3">
      <c r="B83" s="74"/>
      <c r="C83" s="74"/>
      <c r="D83" s="123"/>
      <c r="E83" s="75"/>
      <c r="F83" s="123"/>
      <c r="G83" s="191"/>
      <c r="H83" s="124"/>
      <c r="I83" s="140"/>
      <c r="J83" s="76"/>
      <c r="K83" s="77"/>
      <c r="L83" s="114" t="str">
        <f t="shared" si="3"/>
        <v/>
      </c>
      <c r="M83" s="91"/>
      <c r="N83" s="38" t="str">
        <f t="shared" si="4"/>
        <v/>
      </c>
      <c r="O83" s="38" t="str">
        <f t="shared" si="5"/>
        <v/>
      </c>
    </row>
    <row r="84" spans="2:15" ht="12.75" customHeight="1" x14ac:dyDescent="0.3">
      <c r="B84" s="74"/>
      <c r="C84" s="74"/>
      <c r="D84" s="123"/>
      <c r="E84" s="75"/>
      <c r="F84" s="123"/>
      <c r="G84" s="191"/>
      <c r="H84" s="124"/>
      <c r="I84" s="140"/>
      <c r="J84" s="76"/>
      <c r="K84" s="77"/>
      <c r="L84" s="114" t="str">
        <f t="shared" si="3"/>
        <v/>
      </c>
      <c r="M84" s="91"/>
      <c r="N84" s="38" t="str">
        <f t="shared" si="4"/>
        <v/>
      </c>
      <c r="O84" s="38" t="str">
        <f t="shared" si="5"/>
        <v/>
      </c>
    </row>
    <row r="85" spans="2:15" ht="12.75" customHeight="1" x14ac:dyDescent="0.3">
      <c r="B85" s="74"/>
      <c r="C85" s="74"/>
      <c r="D85" s="123"/>
      <c r="E85" s="75"/>
      <c r="F85" s="123"/>
      <c r="G85" s="191"/>
      <c r="H85" s="124"/>
      <c r="I85" s="140"/>
      <c r="J85" s="76"/>
      <c r="K85" s="77"/>
      <c r="L85" s="114" t="str">
        <f t="shared" si="3"/>
        <v/>
      </c>
      <c r="M85" s="91"/>
      <c r="N85" s="38" t="str">
        <f t="shared" si="4"/>
        <v/>
      </c>
      <c r="O85" s="38" t="str">
        <f t="shared" si="5"/>
        <v/>
      </c>
    </row>
    <row r="86" spans="2:15" ht="12.75" customHeight="1" x14ac:dyDescent="0.3">
      <c r="B86" s="74"/>
      <c r="C86" s="74"/>
      <c r="D86" s="123"/>
      <c r="E86" s="75"/>
      <c r="F86" s="123"/>
      <c r="G86" s="191"/>
      <c r="H86" s="124"/>
      <c r="I86" s="140"/>
      <c r="J86" s="76"/>
      <c r="K86" s="77"/>
      <c r="L86" s="114" t="str">
        <f t="shared" si="3"/>
        <v/>
      </c>
      <c r="M86" s="91"/>
      <c r="N86" s="38" t="str">
        <f t="shared" si="4"/>
        <v/>
      </c>
      <c r="O86" s="38" t="str">
        <f t="shared" si="5"/>
        <v/>
      </c>
    </row>
    <row r="87" spans="2:15" ht="12.75" customHeight="1" x14ac:dyDescent="0.3">
      <c r="B87" s="74"/>
      <c r="C87" s="74"/>
      <c r="D87" s="123"/>
      <c r="E87" s="75"/>
      <c r="F87" s="123"/>
      <c r="G87" s="191"/>
      <c r="H87" s="124"/>
      <c r="I87" s="140"/>
      <c r="J87" s="76"/>
      <c r="K87" s="77"/>
      <c r="L87" s="114" t="str">
        <f t="shared" si="3"/>
        <v/>
      </c>
      <c r="M87" s="91"/>
      <c r="N87" s="38" t="str">
        <f t="shared" si="4"/>
        <v/>
      </c>
      <c r="O87" s="38" t="str">
        <f t="shared" si="5"/>
        <v/>
      </c>
    </row>
    <row r="88" spans="2:15" ht="12.75" customHeight="1" x14ac:dyDescent="0.3">
      <c r="B88" s="74"/>
      <c r="C88" s="74"/>
      <c r="D88" s="123"/>
      <c r="E88" s="75"/>
      <c r="F88" s="123"/>
      <c r="G88" s="191"/>
      <c r="H88" s="124"/>
      <c r="I88" s="140"/>
      <c r="J88" s="76"/>
      <c r="K88" s="77"/>
      <c r="L88" s="114" t="str">
        <f t="shared" si="3"/>
        <v/>
      </c>
      <c r="M88" s="91"/>
      <c r="N88" s="38" t="str">
        <f t="shared" si="4"/>
        <v/>
      </c>
      <c r="O88" s="38" t="str">
        <f t="shared" si="5"/>
        <v/>
      </c>
    </row>
    <row r="89" spans="2:15" ht="12.75" customHeight="1" x14ac:dyDescent="0.3">
      <c r="B89" s="74"/>
      <c r="C89" s="74"/>
      <c r="D89" s="123"/>
      <c r="E89" s="75"/>
      <c r="F89" s="123"/>
      <c r="G89" s="191"/>
      <c r="H89" s="124"/>
      <c r="I89" s="140"/>
      <c r="J89" s="76"/>
      <c r="K89" s="77"/>
      <c r="L89" s="114" t="str">
        <f t="shared" si="3"/>
        <v/>
      </c>
      <c r="M89" s="91"/>
      <c r="N89" s="38" t="str">
        <f t="shared" si="4"/>
        <v/>
      </c>
      <c r="O89" s="38" t="str">
        <f t="shared" si="5"/>
        <v/>
      </c>
    </row>
    <row r="90" spans="2:15" ht="12.75" customHeight="1" x14ac:dyDescent="0.3">
      <c r="B90" s="74"/>
      <c r="C90" s="74"/>
      <c r="D90" s="123"/>
      <c r="E90" s="75"/>
      <c r="F90" s="123"/>
      <c r="G90" s="191"/>
      <c r="H90" s="124"/>
      <c r="I90" s="140"/>
      <c r="J90" s="76"/>
      <c r="K90" s="77"/>
      <c r="L90" s="114" t="str">
        <f t="shared" si="3"/>
        <v/>
      </c>
      <c r="M90" s="91"/>
      <c r="N90" s="38" t="str">
        <f t="shared" si="4"/>
        <v/>
      </c>
      <c r="O90" s="38" t="str">
        <f t="shared" si="5"/>
        <v/>
      </c>
    </row>
    <row r="91" spans="2:15" ht="12.75" customHeight="1" x14ac:dyDescent="0.3">
      <c r="B91" s="74"/>
      <c r="C91" s="74"/>
      <c r="D91" s="123"/>
      <c r="E91" s="75"/>
      <c r="F91" s="123"/>
      <c r="G91" s="191"/>
      <c r="H91" s="124"/>
      <c r="I91" s="140"/>
      <c r="J91" s="76"/>
      <c r="K91" s="77"/>
      <c r="L91" s="114" t="str">
        <f t="shared" si="3"/>
        <v/>
      </c>
      <c r="M91" s="91"/>
      <c r="N91" s="38" t="str">
        <f t="shared" si="4"/>
        <v/>
      </c>
      <c r="O91" s="38" t="str">
        <f t="shared" si="5"/>
        <v/>
      </c>
    </row>
    <row r="92" spans="2:15" ht="12.75" customHeight="1" x14ac:dyDescent="0.3">
      <c r="B92" s="74"/>
      <c r="C92" s="74"/>
      <c r="D92" s="123"/>
      <c r="E92" s="75"/>
      <c r="F92" s="123"/>
      <c r="G92" s="191"/>
      <c r="H92" s="124"/>
      <c r="I92" s="140"/>
      <c r="J92" s="76"/>
      <c r="K92" s="77"/>
      <c r="L92" s="114" t="str">
        <f t="shared" si="3"/>
        <v/>
      </c>
      <c r="M92" s="91"/>
      <c r="N92" s="38" t="str">
        <f t="shared" si="4"/>
        <v/>
      </c>
      <c r="O92" s="38" t="str">
        <f t="shared" si="5"/>
        <v/>
      </c>
    </row>
    <row r="93" spans="2:15" ht="12.75" customHeight="1" x14ac:dyDescent="0.3">
      <c r="B93" s="74"/>
      <c r="C93" s="74"/>
      <c r="D93" s="123"/>
      <c r="E93" s="75"/>
      <c r="F93" s="123"/>
      <c r="G93" s="191"/>
      <c r="H93" s="124"/>
      <c r="I93" s="140"/>
      <c r="J93" s="76"/>
      <c r="K93" s="77"/>
      <c r="L93" s="114" t="str">
        <f t="shared" si="3"/>
        <v/>
      </c>
      <c r="M93" s="91"/>
      <c r="N93" s="38" t="str">
        <f t="shared" si="4"/>
        <v/>
      </c>
      <c r="O93" s="38" t="str">
        <f t="shared" si="5"/>
        <v/>
      </c>
    </row>
    <row r="94" spans="2:15" ht="12.75" customHeight="1" x14ac:dyDescent="0.3">
      <c r="B94" s="74"/>
      <c r="C94" s="74"/>
      <c r="D94" s="123"/>
      <c r="E94" s="75"/>
      <c r="F94" s="123"/>
      <c r="G94" s="191"/>
      <c r="H94" s="124"/>
      <c r="I94" s="140"/>
      <c r="J94" s="76"/>
      <c r="K94" s="77"/>
      <c r="L94" s="114" t="str">
        <f t="shared" si="3"/>
        <v/>
      </c>
      <c r="M94" s="91"/>
      <c r="N94" s="38" t="str">
        <f t="shared" si="4"/>
        <v/>
      </c>
      <c r="O94" s="38" t="str">
        <f t="shared" si="5"/>
        <v/>
      </c>
    </row>
    <row r="95" spans="2:15" ht="12.75" customHeight="1" x14ac:dyDescent="0.3">
      <c r="B95" s="74"/>
      <c r="C95" s="74"/>
      <c r="D95" s="123"/>
      <c r="E95" s="75"/>
      <c r="F95" s="123"/>
      <c r="G95" s="191"/>
      <c r="H95" s="124"/>
      <c r="I95" s="140"/>
      <c r="J95" s="76"/>
      <c r="K95" s="77"/>
      <c r="L95" s="114" t="str">
        <f t="shared" si="3"/>
        <v/>
      </c>
      <c r="M95" s="91"/>
      <c r="N95" s="38" t="str">
        <f t="shared" si="4"/>
        <v/>
      </c>
      <c r="O95" s="38" t="str">
        <f t="shared" si="5"/>
        <v/>
      </c>
    </row>
    <row r="96" spans="2:15" ht="12.75" customHeight="1" x14ac:dyDescent="0.3">
      <c r="B96" s="74"/>
      <c r="C96" s="74"/>
      <c r="D96" s="123"/>
      <c r="E96" s="75"/>
      <c r="F96" s="123"/>
      <c r="G96" s="191"/>
      <c r="H96" s="124"/>
      <c r="I96" s="140"/>
      <c r="J96" s="76"/>
      <c r="K96" s="77"/>
      <c r="L96" s="114" t="str">
        <f t="shared" si="3"/>
        <v/>
      </c>
      <c r="M96" s="91"/>
      <c r="N96" s="38" t="str">
        <f t="shared" si="4"/>
        <v/>
      </c>
      <c r="O96" s="38" t="str">
        <f t="shared" si="5"/>
        <v/>
      </c>
    </row>
    <row r="97" spans="2:15" ht="12.75" customHeight="1" x14ac:dyDescent="0.3">
      <c r="B97" s="74"/>
      <c r="C97" s="74"/>
      <c r="D97" s="123"/>
      <c r="E97" s="75"/>
      <c r="F97" s="123"/>
      <c r="G97" s="191"/>
      <c r="H97" s="124"/>
      <c r="I97" s="140"/>
      <c r="J97" s="76"/>
      <c r="K97" s="77"/>
      <c r="L97" s="114" t="str">
        <f t="shared" si="3"/>
        <v/>
      </c>
      <c r="M97" s="91"/>
      <c r="N97" s="38" t="str">
        <f t="shared" si="4"/>
        <v/>
      </c>
      <c r="O97" s="38" t="str">
        <f t="shared" si="5"/>
        <v/>
      </c>
    </row>
    <row r="98" spans="2:15" ht="12.75" customHeight="1" x14ac:dyDescent="0.3">
      <c r="B98" s="74"/>
      <c r="C98" s="74"/>
      <c r="D98" s="123"/>
      <c r="E98" s="75"/>
      <c r="F98" s="123"/>
      <c r="G98" s="191"/>
      <c r="H98" s="124"/>
      <c r="I98" s="140"/>
      <c r="J98" s="76"/>
      <c r="K98" s="77"/>
      <c r="L98" s="114" t="str">
        <f t="shared" si="3"/>
        <v/>
      </c>
      <c r="M98" s="91"/>
      <c r="N98" s="38" t="str">
        <f t="shared" si="4"/>
        <v/>
      </c>
      <c r="O98" s="38" t="str">
        <f t="shared" si="5"/>
        <v/>
      </c>
    </row>
    <row r="99" spans="2:15" ht="12.75" customHeight="1" x14ac:dyDescent="0.3">
      <c r="B99" s="74"/>
      <c r="C99" s="74"/>
      <c r="D99" s="123"/>
      <c r="E99" s="75"/>
      <c r="F99" s="123"/>
      <c r="G99" s="191"/>
      <c r="H99" s="124"/>
      <c r="I99" s="140"/>
      <c r="J99" s="76"/>
      <c r="K99" s="77"/>
      <c r="L99" s="114" t="str">
        <f t="shared" si="3"/>
        <v/>
      </c>
      <c r="M99" s="91"/>
      <c r="N99" s="38" t="str">
        <f t="shared" si="4"/>
        <v/>
      </c>
      <c r="O99" s="38" t="str">
        <f t="shared" si="5"/>
        <v/>
      </c>
    </row>
    <row r="100" spans="2:15" ht="12.75" customHeight="1" x14ac:dyDescent="0.3">
      <c r="B100" s="74"/>
      <c r="C100" s="74"/>
      <c r="D100" s="123"/>
      <c r="E100" s="75"/>
      <c r="F100" s="123"/>
      <c r="G100" s="191"/>
      <c r="H100" s="124"/>
      <c r="I100" s="140"/>
      <c r="J100" s="76"/>
      <c r="K100" s="77"/>
      <c r="L100" s="114" t="str">
        <f t="shared" si="3"/>
        <v/>
      </c>
      <c r="M100" s="91"/>
      <c r="N100" s="38" t="str">
        <f t="shared" si="4"/>
        <v/>
      </c>
      <c r="O100" s="38" t="str">
        <f t="shared" si="5"/>
        <v/>
      </c>
    </row>
    <row r="101" spans="2:15" ht="12.75" customHeight="1" x14ac:dyDescent="0.3">
      <c r="B101" s="74"/>
      <c r="C101" s="74"/>
      <c r="D101" s="123"/>
      <c r="E101" s="75"/>
      <c r="F101" s="123"/>
      <c r="G101" s="191"/>
      <c r="H101" s="124"/>
      <c r="I101" s="140"/>
      <c r="J101" s="76"/>
      <c r="K101" s="77"/>
      <c r="L101" s="114" t="str">
        <f t="shared" si="3"/>
        <v/>
      </c>
      <c r="M101" s="91"/>
      <c r="N101" s="38" t="str">
        <f t="shared" si="4"/>
        <v/>
      </c>
      <c r="O101" s="38" t="str">
        <f t="shared" si="5"/>
        <v/>
      </c>
    </row>
    <row r="102" spans="2:15" ht="12.75" customHeight="1" x14ac:dyDescent="0.3">
      <c r="B102" s="74"/>
      <c r="C102" s="74"/>
      <c r="D102" s="123"/>
      <c r="E102" s="75"/>
      <c r="F102" s="123"/>
      <c r="G102" s="191"/>
      <c r="H102" s="124"/>
      <c r="I102" s="140"/>
      <c r="J102" s="76"/>
      <c r="K102" s="77"/>
      <c r="L102" s="114" t="str">
        <f t="shared" si="3"/>
        <v/>
      </c>
      <c r="M102" s="91"/>
      <c r="N102" s="38" t="str">
        <f t="shared" si="4"/>
        <v/>
      </c>
      <c r="O102" s="38" t="str">
        <f t="shared" si="5"/>
        <v/>
      </c>
    </row>
    <row r="103" spans="2:15" ht="12.75" customHeight="1" x14ac:dyDescent="0.3">
      <c r="B103" s="74"/>
      <c r="C103" s="74"/>
      <c r="D103" s="123"/>
      <c r="E103" s="75"/>
      <c r="F103" s="123"/>
      <c r="G103" s="191"/>
      <c r="H103" s="124"/>
      <c r="I103" s="140"/>
      <c r="J103" s="76"/>
      <c r="K103" s="77"/>
      <c r="L103" s="114" t="str">
        <f t="shared" si="3"/>
        <v/>
      </c>
      <c r="M103" s="91"/>
      <c r="N103" s="38" t="str">
        <f t="shared" si="4"/>
        <v/>
      </c>
      <c r="O103" s="38" t="str">
        <f t="shared" si="5"/>
        <v/>
      </c>
    </row>
    <row r="104" spans="2:15" ht="12.75" customHeight="1" x14ac:dyDescent="0.3">
      <c r="B104" s="74"/>
      <c r="C104" s="74"/>
      <c r="D104" s="123"/>
      <c r="E104" s="75"/>
      <c r="F104" s="123"/>
      <c r="G104" s="191"/>
      <c r="H104" s="124"/>
      <c r="I104" s="140"/>
      <c r="J104" s="76"/>
      <c r="K104" s="77"/>
      <c r="L104" s="114" t="str">
        <f t="shared" si="3"/>
        <v/>
      </c>
      <c r="M104" s="91"/>
      <c r="N104" s="38" t="str">
        <f t="shared" si="4"/>
        <v/>
      </c>
      <c r="O104" s="38" t="str">
        <f t="shared" si="5"/>
        <v/>
      </c>
    </row>
    <row r="105" spans="2:15" ht="12.75" customHeight="1" x14ac:dyDescent="0.3">
      <c r="B105" s="74"/>
      <c r="C105" s="74"/>
      <c r="D105" s="123"/>
      <c r="E105" s="75"/>
      <c r="F105" s="123"/>
      <c r="G105" s="191"/>
      <c r="H105" s="124"/>
      <c r="I105" s="140"/>
      <c r="J105" s="76"/>
      <c r="K105" s="77"/>
      <c r="L105" s="114" t="str">
        <f t="shared" si="3"/>
        <v/>
      </c>
      <c r="M105" s="91"/>
      <c r="N105" s="38" t="str">
        <f t="shared" si="4"/>
        <v/>
      </c>
      <c r="O105" s="38" t="str">
        <f t="shared" si="5"/>
        <v/>
      </c>
    </row>
    <row r="106" spans="2:15" ht="12.75" customHeight="1" x14ac:dyDescent="0.3">
      <c r="B106" s="74"/>
      <c r="C106" s="74"/>
      <c r="D106" s="123"/>
      <c r="E106" s="75"/>
      <c r="F106" s="123"/>
      <c r="G106" s="191"/>
      <c r="H106" s="124"/>
      <c r="I106" s="140"/>
      <c r="J106" s="76"/>
      <c r="K106" s="77"/>
      <c r="L106" s="114" t="str">
        <f t="shared" si="3"/>
        <v/>
      </c>
      <c r="M106" s="91"/>
      <c r="N106" s="38" t="str">
        <f t="shared" si="4"/>
        <v/>
      </c>
      <c r="O106" s="38" t="str">
        <f t="shared" si="5"/>
        <v/>
      </c>
    </row>
    <row r="107" spans="2:15" ht="12.75" customHeight="1" x14ac:dyDescent="0.3">
      <c r="B107" s="74"/>
      <c r="C107" s="74"/>
      <c r="D107" s="123"/>
      <c r="E107" s="75"/>
      <c r="F107" s="123"/>
      <c r="G107" s="191"/>
      <c r="H107" s="124"/>
      <c r="I107" s="140"/>
      <c r="J107" s="76"/>
      <c r="K107" s="77"/>
      <c r="L107" s="114" t="str">
        <f t="shared" si="3"/>
        <v/>
      </c>
      <c r="M107" s="91"/>
      <c r="N107" s="38" t="str">
        <f t="shared" si="4"/>
        <v/>
      </c>
      <c r="O107" s="38" t="str">
        <f t="shared" si="5"/>
        <v/>
      </c>
    </row>
    <row r="108" spans="2:15" ht="12.75" customHeight="1" x14ac:dyDescent="0.3">
      <c r="B108" s="74"/>
      <c r="C108" s="74"/>
      <c r="D108" s="123"/>
      <c r="E108" s="75"/>
      <c r="F108" s="123"/>
      <c r="G108" s="191"/>
      <c r="H108" s="124"/>
      <c r="I108" s="140"/>
      <c r="J108" s="76"/>
      <c r="K108" s="77"/>
      <c r="L108" s="114" t="str">
        <f t="shared" si="3"/>
        <v/>
      </c>
      <c r="M108" s="91"/>
      <c r="N108" s="38" t="str">
        <f t="shared" si="4"/>
        <v/>
      </c>
      <c r="O108" s="38" t="str">
        <f t="shared" si="5"/>
        <v/>
      </c>
    </row>
    <row r="109" spans="2:15" ht="12.75" customHeight="1" x14ac:dyDescent="0.3">
      <c r="B109" s="74"/>
      <c r="C109" s="74"/>
      <c r="D109" s="123"/>
      <c r="E109" s="75"/>
      <c r="F109" s="123"/>
      <c r="G109" s="191"/>
      <c r="H109" s="124"/>
      <c r="I109" s="140"/>
      <c r="J109" s="76"/>
      <c r="K109" s="77"/>
      <c r="L109" s="114" t="str">
        <f t="shared" si="3"/>
        <v/>
      </c>
      <c r="M109" s="91"/>
      <c r="N109" s="38" t="str">
        <f t="shared" si="4"/>
        <v/>
      </c>
      <c r="O109" s="38" t="str">
        <f t="shared" si="5"/>
        <v/>
      </c>
    </row>
    <row r="110" spans="2:15" ht="12.75" customHeight="1" x14ac:dyDescent="0.3">
      <c r="B110" s="74"/>
      <c r="C110" s="74"/>
      <c r="D110" s="123"/>
      <c r="E110" s="75"/>
      <c r="F110" s="123"/>
      <c r="G110" s="191"/>
      <c r="H110" s="124"/>
      <c r="I110" s="140"/>
      <c r="J110" s="76"/>
      <c r="K110" s="77"/>
      <c r="L110" s="114" t="str">
        <f t="shared" si="3"/>
        <v/>
      </c>
      <c r="M110" s="91"/>
      <c r="N110" s="38" t="str">
        <f t="shared" si="4"/>
        <v/>
      </c>
      <c r="O110" s="38" t="str">
        <f t="shared" si="5"/>
        <v/>
      </c>
    </row>
    <row r="111" spans="2:15" ht="12.75" customHeight="1" x14ac:dyDescent="0.3">
      <c r="B111" s="74"/>
      <c r="C111" s="74"/>
      <c r="D111" s="123"/>
      <c r="E111" s="75"/>
      <c r="F111" s="123"/>
      <c r="G111" s="191"/>
      <c r="H111" s="124"/>
      <c r="I111" s="140"/>
      <c r="J111" s="76"/>
      <c r="K111" s="77"/>
      <c r="L111" s="114" t="str">
        <f t="shared" si="3"/>
        <v/>
      </c>
      <c r="M111" s="91"/>
      <c r="N111" s="38" t="str">
        <f t="shared" si="4"/>
        <v/>
      </c>
      <c r="O111" s="38" t="str">
        <f t="shared" si="5"/>
        <v/>
      </c>
    </row>
    <row r="112" spans="2:15" ht="12.75" customHeight="1" x14ac:dyDescent="0.3">
      <c r="B112" s="74"/>
      <c r="C112" s="74"/>
      <c r="D112" s="123"/>
      <c r="E112" s="75"/>
      <c r="F112" s="123"/>
      <c r="G112" s="191"/>
      <c r="H112" s="124"/>
      <c r="I112" s="140"/>
      <c r="J112" s="76"/>
      <c r="K112" s="77"/>
      <c r="L112" s="114" t="str">
        <f t="shared" si="3"/>
        <v/>
      </c>
      <c r="M112" s="91"/>
      <c r="N112" s="38" t="str">
        <f t="shared" si="4"/>
        <v/>
      </c>
      <c r="O112" s="38" t="str">
        <f t="shared" si="5"/>
        <v/>
      </c>
    </row>
    <row r="113" spans="2:15" ht="12.75" customHeight="1" x14ac:dyDescent="0.3">
      <c r="B113" s="74"/>
      <c r="C113" s="74"/>
      <c r="D113" s="123"/>
      <c r="E113" s="75"/>
      <c r="F113" s="123"/>
      <c r="G113" s="191"/>
      <c r="H113" s="124"/>
      <c r="I113" s="140"/>
      <c r="J113" s="76"/>
      <c r="K113" s="77"/>
      <c r="L113" s="114" t="str">
        <f t="shared" si="3"/>
        <v/>
      </c>
      <c r="M113" s="91"/>
      <c r="N113" s="38" t="str">
        <f t="shared" si="4"/>
        <v/>
      </c>
      <c r="O113" s="38" t="str">
        <f t="shared" si="5"/>
        <v/>
      </c>
    </row>
    <row r="114" spans="2:15" ht="12.75" customHeight="1" x14ac:dyDescent="0.3">
      <c r="B114" s="74"/>
      <c r="C114" s="74"/>
      <c r="D114" s="123"/>
      <c r="E114" s="75"/>
      <c r="F114" s="123"/>
      <c r="G114" s="191"/>
      <c r="H114" s="124"/>
      <c r="I114" s="140"/>
      <c r="J114" s="76"/>
      <c r="K114" s="77"/>
      <c r="L114" s="114" t="str">
        <f t="shared" si="3"/>
        <v/>
      </c>
      <c r="M114" s="91"/>
      <c r="N114" s="38" t="str">
        <f t="shared" si="4"/>
        <v/>
      </c>
      <c r="O114" s="38" t="str">
        <f t="shared" si="5"/>
        <v/>
      </c>
    </row>
    <row r="115" spans="2:15" ht="12.75" customHeight="1" x14ac:dyDescent="0.3">
      <c r="B115" s="74"/>
      <c r="C115" s="74"/>
      <c r="D115" s="123"/>
      <c r="E115" s="75"/>
      <c r="F115" s="123"/>
      <c r="G115" s="191"/>
      <c r="H115" s="124"/>
      <c r="I115" s="140"/>
      <c r="J115" s="76"/>
      <c r="K115" s="77"/>
      <c r="L115" s="114" t="str">
        <f t="shared" si="3"/>
        <v/>
      </c>
      <c r="M115" s="91"/>
      <c r="N115" s="38" t="str">
        <f t="shared" si="4"/>
        <v/>
      </c>
      <c r="O115" s="38" t="str">
        <f t="shared" si="5"/>
        <v/>
      </c>
    </row>
    <row r="116" spans="2:15" ht="12.75" customHeight="1" x14ac:dyDescent="0.3">
      <c r="B116" s="74"/>
      <c r="C116" s="74"/>
      <c r="D116" s="123"/>
      <c r="E116" s="75"/>
      <c r="F116" s="123"/>
      <c r="G116" s="191"/>
      <c r="H116" s="124"/>
      <c r="I116" s="140"/>
      <c r="J116" s="76"/>
      <c r="K116" s="77"/>
      <c r="L116" s="114" t="str">
        <f t="shared" si="3"/>
        <v/>
      </c>
      <c r="M116" s="91"/>
      <c r="N116" s="38" t="str">
        <f t="shared" si="4"/>
        <v/>
      </c>
      <c r="O116" s="38" t="str">
        <f t="shared" si="5"/>
        <v/>
      </c>
    </row>
    <row r="117" spans="2:15" ht="12.75" customHeight="1" x14ac:dyDescent="0.3">
      <c r="B117" s="74"/>
      <c r="C117" s="74"/>
      <c r="D117" s="123"/>
      <c r="E117" s="75"/>
      <c r="F117" s="123"/>
      <c r="G117" s="191"/>
      <c r="H117" s="124"/>
      <c r="I117" s="140"/>
      <c r="J117" s="76"/>
      <c r="K117" s="77"/>
      <c r="L117" s="114" t="str">
        <f t="shared" si="3"/>
        <v/>
      </c>
      <c r="M117" s="91"/>
      <c r="N117" s="38" t="str">
        <f t="shared" si="4"/>
        <v/>
      </c>
      <c r="O117" s="38" t="str">
        <f t="shared" si="5"/>
        <v/>
      </c>
    </row>
    <row r="118" spans="2:15" ht="12.75" customHeight="1" x14ac:dyDescent="0.3">
      <c r="B118" s="74"/>
      <c r="C118" s="74"/>
      <c r="D118" s="123"/>
      <c r="E118" s="75"/>
      <c r="F118" s="123"/>
      <c r="G118" s="191"/>
      <c r="H118" s="124"/>
      <c r="I118" s="140"/>
      <c r="J118" s="76"/>
      <c r="K118" s="77"/>
      <c r="L118" s="114" t="str">
        <f t="shared" si="3"/>
        <v/>
      </c>
      <c r="M118" s="91"/>
      <c r="N118" s="38" t="str">
        <f t="shared" si="4"/>
        <v/>
      </c>
      <c r="O118" s="38" t="str">
        <f t="shared" si="5"/>
        <v/>
      </c>
    </row>
    <row r="119" spans="2:15" ht="12.75" customHeight="1" x14ac:dyDescent="0.3">
      <c r="B119" s="74"/>
      <c r="C119" s="74"/>
      <c r="D119" s="123"/>
      <c r="E119" s="75"/>
      <c r="F119" s="123"/>
      <c r="G119" s="191"/>
      <c r="H119" s="124"/>
      <c r="I119" s="140"/>
      <c r="J119" s="76"/>
      <c r="K119" s="77"/>
      <c r="L119" s="114" t="str">
        <f t="shared" si="3"/>
        <v/>
      </c>
      <c r="M119" s="91"/>
      <c r="N119" s="38" t="str">
        <f t="shared" si="4"/>
        <v/>
      </c>
      <c r="O119" s="38" t="str">
        <f t="shared" si="5"/>
        <v/>
      </c>
    </row>
    <row r="120" spans="2:15" ht="12.75" customHeight="1" x14ac:dyDescent="0.3">
      <c r="B120" s="74"/>
      <c r="C120" s="74"/>
      <c r="D120" s="123"/>
      <c r="E120" s="75"/>
      <c r="F120" s="123"/>
      <c r="G120" s="191"/>
      <c r="H120" s="124"/>
      <c r="I120" s="140"/>
      <c r="J120" s="76"/>
      <c r="K120" s="77"/>
      <c r="L120" s="114" t="str">
        <f t="shared" si="3"/>
        <v/>
      </c>
      <c r="M120" s="91"/>
      <c r="N120" s="38" t="str">
        <f t="shared" si="4"/>
        <v/>
      </c>
      <c r="O120" s="38" t="str">
        <f t="shared" si="5"/>
        <v/>
      </c>
    </row>
    <row r="121" spans="2:15" ht="12.75" customHeight="1" x14ac:dyDescent="0.3">
      <c r="B121" s="74"/>
      <c r="C121" s="74"/>
      <c r="D121" s="123"/>
      <c r="E121" s="75"/>
      <c r="F121" s="123"/>
      <c r="G121" s="191"/>
      <c r="H121" s="124"/>
      <c r="I121" s="140"/>
      <c r="J121" s="76"/>
      <c r="K121" s="77"/>
      <c r="L121" s="114" t="str">
        <f t="shared" si="3"/>
        <v/>
      </c>
      <c r="M121" s="91"/>
      <c r="N121" s="38" t="str">
        <f t="shared" si="4"/>
        <v/>
      </c>
      <c r="O121" s="38" t="str">
        <f t="shared" si="5"/>
        <v/>
      </c>
    </row>
    <row r="122" spans="2:15" ht="12.75" customHeight="1" x14ac:dyDescent="0.3">
      <c r="B122" s="74"/>
      <c r="C122" s="74"/>
      <c r="D122" s="123"/>
      <c r="E122" s="75"/>
      <c r="F122" s="123"/>
      <c r="G122" s="191"/>
      <c r="H122" s="124"/>
      <c r="I122" s="140"/>
      <c r="J122" s="76"/>
      <c r="K122" s="77"/>
      <c r="L122" s="114" t="str">
        <f t="shared" si="3"/>
        <v/>
      </c>
      <c r="M122" s="91"/>
      <c r="N122" s="38" t="str">
        <f t="shared" si="4"/>
        <v/>
      </c>
      <c r="O122" s="38" t="str">
        <f t="shared" si="5"/>
        <v/>
      </c>
    </row>
    <row r="123" spans="2:15" ht="12.75" customHeight="1" x14ac:dyDescent="0.3">
      <c r="B123" s="74"/>
      <c r="C123" s="74"/>
      <c r="D123" s="123"/>
      <c r="E123" s="75"/>
      <c r="F123" s="123"/>
      <c r="G123" s="191"/>
      <c r="H123" s="124"/>
      <c r="I123" s="140"/>
      <c r="J123" s="76"/>
      <c r="K123" s="77"/>
      <c r="L123" s="114" t="str">
        <f t="shared" si="3"/>
        <v/>
      </c>
      <c r="M123" s="91"/>
      <c r="N123" s="38" t="str">
        <f t="shared" si="4"/>
        <v/>
      </c>
      <c r="O123" s="38" t="str">
        <f t="shared" si="5"/>
        <v/>
      </c>
    </row>
    <row r="124" spans="2:15" ht="12.75" customHeight="1" x14ac:dyDescent="0.3">
      <c r="B124" s="74"/>
      <c r="C124" s="74"/>
      <c r="D124" s="123"/>
      <c r="E124" s="75"/>
      <c r="F124" s="123"/>
      <c r="G124" s="191"/>
      <c r="H124" s="124"/>
      <c r="I124" s="140"/>
      <c r="J124" s="76"/>
      <c r="K124" s="77"/>
      <c r="L124" s="114" t="str">
        <f t="shared" si="3"/>
        <v/>
      </c>
      <c r="M124" s="91"/>
      <c r="N124" s="38" t="str">
        <f t="shared" si="4"/>
        <v/>
      </c>
      <c r="O124" s="38" t="str">
        <f t="shared" si="5"/>
        <v/>
      </c>
    </row>
    <row r="125" spans="2:15" ht="12.75" customHeight="1" x14ac:dyDescent="0.3">
      <c r="B125" s="74"/>
      <c r="C125" s="74"/>
      <c r="D125" s="123"/>
      <c r="E125" s="75"/>
      <c r="F125" s="123"/>
      <c r="G125" s="191"/>
      <c r="H125" s="124"/>
      <c r="I125" s="140"/>
      <c r="J125" s="76"/>
      <c r="K125" s="77"/>
      <c r="L125" s="114" t="str">
        <f t="shared" si="3"/>
        <v/>
      </c>
      <c r="M125" s="91"/>
      <c r="N125" s="38" t="str">
        <f t="shared" si="4"/>
        <v/>
      </c>
      <c r="O125" s="38" t="str">
        <f t="shared" si="5"/>
        <v/>
      </c>
    </row>
    <row r="126" spans="2:15" ht="12.75" customHeight="1" x14ac:dyDescent="0.3">
      <c r="B126" s="74"/>
      <c r="C126" s="74"/>
      <c r="D126" s="123"/>
      <c r="E126" s="75"/>
      <c r="F126" s="123"/>
      <c r="G126" s="191"/>
      <c r="H126" s="124"/>
      <c r="I126" s="140"/>
      <c r="J126" s="76"/>
      <c r="K126" s="77"/>
      <c r="L126" s="114" t="str">
        <f t="shared" si="3"/>
        <v/>
      </c>
      <c r="M126" s="91"/>
      <c r="N126" s="38" t="str">
        <f t="shared" si="4"/>
        <v/>
      </c>
      <c r="O126" s="38" t="str">
        <f t="shared" si="5"/>
        <v/>
      </c>
    </row>
    <row r="127" spans="2:15" ht="12.75" customHeight="1" x14ac:dyDescent="0.3">
      <c r="B127" s="74"/>
      <c r="C127" s="74"/>
      <c r="D127" s="123"/>
      <c r="E127" s="75"/>
      <c r="F127" s="123"/>
      <c r="G127" s="191"/>
      <c r="H127" s="124"/>
      <c r="I127" s="140"/>
      <c r="J127" s="76"/>
      <c r="K127" s="77"/>
      <c r="L127" s="114" t="str">
        <f t="shared" si="3"/>
        <v/>
      </c>
      <c r="M127" s="91"/>
      <c r="N127" s="38" t="str">
        <f t="shared" si="4"/>
        <v/>
      </c>
      <c r="O127" s="38" t="str">
        <f t="shared" si="5"/>
        <v/>
      </c>
    </row>
    <row r="128" spans="2:15" ht="12.75" customHeight="1" x14ac:dyDescent="0.3">
      <c r="B128" s="74"/>
      <c r="C128" s="74"/>
      <c r="D128" s="123"/>
      <c r="E128" s="75"/>
      <c r="F128" s="123"/>
      <c r="G128" s="191"/>
      <c r="H128" s="124"/>
      <c r="I128" s="140"/>
      <c r="J128" s="76"/>
      <c r="K128" s="77"/>
      <c r="L128" s="114" t="str">
        <f t="shared" si="3"/>
        <v/>
      </c>
      <c r="M128" s="91"/>
      <c r="N128" s="38" t="str">
        <f t="shared" si="4"/>
        <v/>
      </c>
      <c r="O128" s="38" t="str">
        <f t="shared" si="5"/>
        <v/>
      </c>
    </row>
    <row r="129" spans="2:15" ht="12.75" customHeight="1" x14ac:dyDescent="0.3">
      <c r="B129" s="74"/>
      <c r="C129" s="74"/>
      <c r="D129" s="123"/>
      <c r="E129" s="75"/>
      <c r="F129" s="123"/>
      <c r="G129" s="191"/>
      <c r="H129" s="124"/>
      <c r="I129" s="140"/>
      <c r="J129" s="76"/>
      <c r="K129" s="77"/>
      <c r="L129" s="114" t="str">
        <f t="shared" si="3"/>
        <v/>
      </c>
      <c r="M129" s="91"/>
      <c r="N129" s="38" t="str">
        <f t="shared" si="4"/>
        <v/>
      </c>
      <c r="O129" s="38" t="str">
        <f t="shared" si="5"/>
        <v/>
      </c>
    </row>
    <row r="130" spans="2:15" ht="12.75" customHeight="1" x14ac:dyDescent="0.3">
      <c r="B130" s="74"/>
      <c r="C130" s="74"/>
      <c r="D130" s="123"/>
      <c r="E130" s="75"/>
      <c r="F130" s="123"/>
      <c r="G130" s="191"/>
      <c r="H130" s="124"/>
      <c r="I130" s="140"/>
      <c r="J130" s="76"/>
      <c r="K130" s="77"/>
      <c r="L130" s="114" t="str">
        <f t="shared" si="3"/>
        <v/>
      </c>
      <c r="M130" s="91"/>
      <c r="N130" s="38" t="str">
        <f t="shared" si="4"/>
        <v/>
      </c>
      <c r="O130" s="38" t="str">
        <f t="shared" si="5"/>
        <v/>
      </c>
    </row>
    <row r="131" spans="2:15" ht="12.75" customHeight="1" x14ac:dyDescent="0.3">
      <c r="B131" s="74"/>
      <c r="C131" s="74"/>
      <c r="D131" s="123"/>
      <c r="E131" s="75"/>
      <c r="F131" s="123"/>
      <c r="G131" s="191"/>
      <c r="H131" s="124"/>
      <c r="I131" s="140"/>
      <c r="J131" s="76"/>
      <c r="K131" s="77"/>
      <c r="L131" s="114" t="str">
        <f t="shared" si="3"/>
        <v/>
      </c>
      <c r="M131" s="91"/>
      <c r="N131" s="38" t="str">
        <f t="shared" si="4"/>
        <v/>
      </c>
      <c r="O131" s="38" t="str">
        <f t="shared" si="5"/>
        <v/>
      </c>
    </row>
    <row r="132" spans="2:15" ht="12.75" customHeight="1" x14ac:dyDescent="0.3">
      <c r="B132" s="74"/>
      <c r="C132" s="74"/>
      <c r="D132" s="123"/>
      <c r="E132" s="75"/>
      <c r="F132" s="123"/>
      <c r="G132" s="191"/>
      <c r="H132" s="124"/>
      <c r="I132" s="140"/>
      <c r="J132" s="76"/>
      <c r="K132" s="77"/>
      <c r="L132" s="114" t="str">
        <f t="shared" si="3"/>
        <v/>
      </c>
      <c r="M132" s="91"/>
      <c r="N132" s="38" t="str">
        <f t="shared" si="4"/>
        <v/>
      </c>
      <c r="O132" s="38" t="str">
        <f t="shared" si="5"/>
        <v/>
      </c>
    </row>
    <row r="133" spans="2:15" ht="12.75" customHeight="1" x14ac:dyDescent="0.3">
      <c r="B133" s="74"/>
      <c r="C133" s="74"/>
      <c r="D133" s="123"/>
      <c r="E133" s="75"/>
      <c r="F133" s="123"/>
      <c r="G133" s="191"/>
      <c r="H133" s="124"/>
      <c r="I133" s="140"/>
      <c r="J133" s="76"/>
      <c r="K133" s="77"/>
      <c r="L133" s="114" t="str">
        <f t="shared" si="3"/>
        <v/>
      </c>
      <c r="M133" s="91"/>
      <c r="N133" s="38" t="str">
        <f t="shared" si="4"/>
        <v/>
      </c>
      <c r="O133" s="38" t="str">
        <f t="shared" si="5"/>
        <v/>
      </c>
    </row>
    <row r="134" spans="2:15" ht="12.75" customHeight="1" x14ac:dyDescent="0.3">
      <c r="B134" s="74"/>
      <c r="C134" s="74"/>
      <c r="D134" s="123"/>
      <c r="E134" s="75"/>
      <c r="F134" s="123"/>
      <c r="G134" s="191"/>
      <c r="H134" s="124"/>
      <c r="I134" s="140"/>
      <c r="J134" s="76"/>
      <c r="K134" s="77"/>
      <c r="L134" s="114" t="str">
        <f t="shared" si="3"/>
        <v/>
      </c>
      <c r="M134" s="91"/>
      <c r="N134" s="38" t="str">
        <f t="shared" si="4"/>
        <v/>
      </c>
      <c r="O134" s="38" t="str">
        <f t="shared" si="5"/>
        <v/>
      </c>
    </row>
    <row r="135" spans="2:15" ht="12.75" customHeight="1" x14ac:dyDescent="0.3">
      <c r="B135" s="74"/>
      <c r="C135" s="74"/>
      <c r="D135" s="123"/>
      <c r="E135" s="75"/>
      <c r="F135" s="123"/>
      <c r="G135" s="191"/>
      <c r="H135" s="124"/>
      <c r="I135" s="140"/>
      <c r="J135" s="76"/>
      <c r="K135" s="77"/>
      <c r="L135" s="114" t="str">
        <f t="shared" ref="L135:L198" si="6">IF(AND(OR($B135="",$C135="",$G135="",$H135="",$J135="",$K135="",AND($C135="Factuur",$J135="Openstaand",$F135="")),NOT(AND($B135="",$C135="",$G135="",$H135="",$J135="",$K135=""))),"Er ontbreken gegevens",IF(AND(NOT(ISBLANK($B135)),$O135&lt;&gt;$K$1),IF(AND($O135&lt;$K$1,$J135="Openstaand"),"Op beginbalans","Datum buiten boekjaar"),""))</f>
        <v/>
      </c>
      <c r="M135" s="91"/>
      <c r="N135" s="38" t="str">
        <f t="shared" ref="N135:N198" si="7">IFERROR(IF($B135="","",MONTH($B$6:$B$500)),0)</f>
        <v/>
      </c>
      <c r="O135" s="38" t="str">
        <f t="shared" ref="O135:O198" si="8">IFERROR(IF($B135="","",YEAR($B$6:$B$500)),0)</f>
        <v/>
      </c>
    </row>
    <row r="136" spans="2:15" ht="12.75" customHeight="1" x14ac:dyDescent="0.3">
      <c r="B136" s="74"/>
      <c r="C136" s="74"/>
      <c r="D136" s="123"/>
      <c r="E136" s="75"/>
      <c r="F136" s="123"/>
      <c r="G136" s="191"/>
      <c r="H136" s="124"/>
      <c r="I136" s="140"/>
      <c r="J136" s="76"/>
      <c r="K136" s="77"/>
      <c r="L136" s="114" t="str">
        <f t="shared" si="6"/>
        <v/>
      </c>
      <c r="M136" s="91"/>
      <c r="N136" s="38" t="str">
        <f t="shared" si="7"/>
        <v/>
      </c>
      <c r="O136" s="38" t="str">
        <f t="shared" si="8"/>
        <v/>
      </c>
    </row>
    <row r="137" spans="2:15" ht="12.75" customHeight="1" x14ac:dyDescent="0.3">
      <c r="B137" s="74"/>
      <c r="C137" s="74"/>
      <c r="D137" s="123"/>
      <c r="E137" s="75"/>
      <c r="F137" s="123"/>
      <c r="G137" s="191"/>
      <c r="H137" s="124"/>
      <c r="I137" s="140"/>
      <c r="J137" s="76"/>
      <c r="K137" s="77"/>
      <c r="L137" s="114" t="str">
        <f t="shared" si="6"/>
        <v/>
      </c>
      <c r="M137" s="91"/>
      <c r="N137" s="38" t="str">
        <f t="shared" si="7"/>
        <v/>
      </c>
      <c r="O137" s="38" t="str">
        <f t="shared" si="8"/>
        <v/>
      </c>
    </row>
    <row r="138" spans="2:15" ht="12.75" customHeight="1" x14ac:dyDescent="0.3">
      <c r="B138" s="74"/>
      <c r="C138" s="74"/>
      <c r="D138" s="123"/>
      <c r="E138" s="75"/>
      <c r="F138" s="123"/>
      <c r="G138" s="191"/>
      <c r="H138" s="124"/>
      <c r="I138" s="140"/>
      <c r="J138" s="76"/>
      <c r="K138" s="77"/>
      <c r="L138" s="114" t="str">
        <f t="shared" si="6"/>
        <v/>
      </c>
      <c r="M138" s="91"/>
      <c r="N138" s="38" t="str">
        <f t="shared" si="7"/>
        <v/>
      </c>
      <c r="O138" s="38" t="str">
        <f t="shared" si="8"/>
        <v/>
      </c>
    </row>
    <row r="139" spans="2:15" ht="12.75" customHeight="1" x14ac:dyDescent="0.3">
      <c r="B139" s="74"/>
      <c r="C139" s="74"/>
      <c r="D139" s="123"/>
      <c r="E139" s="75"/>
      <c r="F139" s="123"/>
      <c r="G139" s="191"/>
      <c r="H139" s="124"/>
      <c r="I139" s="140"/>
      <c r="J139" s="76"/>
      <c r="K139" s="77"/>
      <c r="L139" s="114" t="str">
        <f t="shared" si="6"/>
        <v/>
      </c>
      <c r="M139" s="91"/>
      <c r="N139" s="38" t="str">
        <f t="shared" si="7"/>
        <v/>
      </c>
      <c r="O139" s="38" t="str">
        <f t="shared" si="8"/>
        <v/>
      </c>
    </row>
    <row r="140" spans="2:15" ht="12.75" customHeight="1" x14ac:dyDescent="0.3">
      <c r="B140" s="74"/>
      <c r="C140" s="74"/>
      <c r="D140" s="123"/>
      <c r="E140" s="75"/>
      <c r="F140" s="123"/>
      <c r="G140" s="191"/>
      <c r="H140" s="124"/>
      <c r="I140" s="140"/>
      <c r="J140" s="76"/>
      <c r="K140" s="77"/>
      <c r="L140" s="114" t="str">
        <f t="shared" si="6"/>
        <v/>
      </c>
      <c r="M140" s="91"/>
      <c r="N140" s="38" t="str">
        <f t="shared" si="7"/>
        <v/>
      </c>
      <c r="O140" s="38" t="str">
        <f t="shared" si="8"/>
        <v/>
      </c>
    </row>
    <row r="141" spans="2:15" ht="12.75" customHeight="1" x14ac:dyDescent="0.3">
      <c r="B141" s="74"/>
      <c r="C141" s="74"/>
      <c r="D141" s="123"/>
      <c r="E141" s="75"/>
      <c r="F141" s="123"/>
      <c r="G141" s="191"/>
      <c r="H141" s="124"/>
      <c r="I141" s="140"/>
      <c r="J141" s="76"/>
      <c r="K141" s="77"/>
      <c r="L141" s="114" t="str">
        <f t="shared" si="6"/>
        <v/>
      </c>
      <c r="M141" s="91"/>
      <c r="N141" s="38" t="str">
        <f t="shared" si="7"/>
        <v/>
      </c>
      <c r="O141" s="38" t="str">
        <f t="shared" si="8"/>
        <v/>
      </c>
    </row>
    <row r="142" spans="2:15" ht="12.75" customHeight="1" x14ac:dyDescent="0.3">
      <c r="B142" s="74"/>
      <c r="C142" s="74"/>
      <c r="D142" s="123"/>
      <c r="E142" s="75"/>
      <c r="F142" s="123"/>
      <c r="G142" s="191"/>
      <c r="H142" s="124"/>
      <c r="I142" s="140"/>
      <c r="J142" s="76"/>
      <c r="K142" s="77"/>
      <c r="L142" s="114" t="str">
        <f t="shared" si="6"/>
        <v/>
      </c>
      <c r="M142" s="91"/>
      <c r="N142" s="38" t="str">
        <f t="shared" si="7"/>
        <v/>
      </c>
      <c r="O142" s="38" t="str">
        <f t="shared" si="8"/>
        <v/>
      </c>
    </row>
    <row r="143" spans="2:15" ht="12.75" customHeight="1" x14ac:dyDescent="0.3">
      <c r="B143" s="74"/>
      <c r="C143" s="74"/>
      <c r="D143" s="123"/>
      <c r="E143" s="75"/>
      <c r="F143" s="123"/>
      <c r="G143" s="191"/>
      <c r="H143" s="124"/>
      <c r="I143" s="140"/>
      <c r="J143" s="76"/>
      <c r="K143" s="77"/>
      <c r="L143" s="114" t="str">
        <f t="shared" si="6"/>
        <v/>
      </c>
      <c r="M143" s="91"/>
      <c r="N143" s="38" t="str">
        <f t="shared" si="7"/>
        <v/>
      </c>
      <c r="O143" s="38" t="str">
        <f t="shared" si="8"/>
        <v/>
      </c>
    </row>
    <row r="144" spans="2:15" ht="12.75" customHeight="1" x14ac:dyDescent="0.3">
      <c r="B144" s="74"/>
      <c r="C144" s="74"/>
      <c r="D144" s="123"/>
      <c r="E144" s="75"/>
      <c r="F144" s="123"/>
      <c r="G144" s="191"/>
      <c r="H144" s="124"/>
      <c r="I144" s="140"/>
      <c r="J144" s="76"/>
      <c r="K144" s="77"/>
      <c r="L144" s="114" t="str">
        <f t="shared" si="6"/>
        <v/>
      </c>
      <c r="M144" s="91"/>
      <c r="N144" s="38" t="str">
        <f t="shared" si="7"/>
        <v/>
      </c>
      <c r="O144" s="38" t="str">
        <f t="shared" si="8"/>
        <v/>
      </c>
    </row>
    <row r="145" spans="2:15" ht="12.75" customHeight="1" x14ac:dyDescent="0.3">
      <c r="B145" s="74"/>
      <c r="C145" s="74"/>
      <c r="D145" s="123"/>
      <c r="E145" s="75"/>
      <c r="F145" s="123"/>
      <c r="G145" s="191"/>
      <c r="H145" s="124"/>
      <c r="I145" s="140"/>
      <c r="J145" s="76"/>
      <c r="K145" s="77"/>
      <c r="L145" s="114" t="str">
        <f t="shared" si="6"/>
        <v/>
      </c>
      <c r="M145" s="91"/>
      <c r="N145" s="38" t="str">
        <f t="shared" si="7"/>
        <v/>
      </c>
      <c r="O145" s="38" t="str">
        <f t="shared" si="8"/>
        <v/>
      </c>
    </row>
    <row r="146" spans="2:15" ht="12.75" customHeight="1" x14ac:dyDescent="0.3">
      <c r="B146" s="74"/>
      <c r="C146" s="74"/>
      <c r="D146" s="123"/>
      <c r="E146" s="75"/>
      <c r="F146" s="123"/>
      <c r="G146" s="191"/>
      <c r="H146" s="124"/>
      <c r="I146" s="140"/>
      <c r="J146" s="76"/>
      <c r="K146" s="77"/>
      <c r="L146" s="114" t="str">
        <f t="shared" si="6"/>
        <v/>
      </c>
      <c r="M146" s="91"/>
      <c r="N146" s="38" t="str">
        <f t="shared" si="7"/>
        <v/>
      </c>
      <c r="O146" s="38" t="str">
        <f t="shared" si="8"/>
        <v/>
      </c>
    </row>
    <row r="147" spans="2:15" ht="12.75" customHeight="1" x14ac:dyDescent="0.3">
      <c r="B147" s="74"/>
      <c r="C147" s="74"/>
      <c r="D147" s="123"/>
      <c r="E147" s="75"/>
      <c r="F147" s="123"/>
      <c r="G147" s="191"/>
      <c r="H147" s="124"/>
      <c r="I147" s="140"/>
      <c r="J147" s="76"/>
      <c r="K147" s="77"/>
      <c r="L147" s="114" t="str">
        <f t="shared" si="6"/>
        <v/>
      </c>
      <c r="M147" s="91"/>
      <c r="N147" s="38" t="str">
        <f t="shared" si="7"/>
        <v/>
      </c>
      <c r="O147" s="38" t="str">
        <f t="shared" si="8"/>
        <v/>
      </c>
    </row>
    <row r="148" spans="2:15" ht="12.75" customHeight="1" x14ac:dyDescent="0.3">
      <c r="B148" s="74"/>
      <c r="C148" s="74"/>
      <c r="D148" s="123"/>
      <c r="E148" s="75"/>
      <c r="F148" s="123"/>
      <c r="G148" s="191"/>
      <c r="H148" s="124"/>
      <c r="I148" s="140"/>
      <c r="J148" s="76"/>
      <c r="K148" s="77"/>
      <c r="L148" s="114" t="str">
        <f t="shared" si="6"/>
        <v/>
      </c>
      <c r="M148" s="91"/>
      <c r="N148" s="38" t="str">
        <f t="shared" si="7"/>
        <v/>
      </c>
      <c r="O148" s="38" t="str">
        <f t="shared" si="8"/>
        <v/>
      </c>
    </row>
    <row r="149" spans="2:15" ht="12.75" customHeight="1" x14ac:dyDescent="0.3">
      <c r="B149" s="74"/>
      <c r="C149" s="74"/>
      <c r="D149" s="123"/>
      <c r="E149" s="75"/>
      <c r="F149" s="123"/>
      <c r="G149" s="191"/>
      <c r="H149" s="124"/>
      <c r="I149" s="140"/>
      <c r="J149" s="76"/>
      <c r="K149" s="77"/>
      <c r="L149" s="114" t="str">
        <f t="shared" si="6"/>
        <v/>
      </c>
      <c r="M149" s="91"/>
      <c r="N149" s="38" t="str">
        <f t="shared" si="7"/>
        <v/>
      </c>
      <c r="O149" s="38" t="str">
        <f t="shared" si="8"/>
        <v/>
      </c>
    </row>
    <row r="150" spans="2:15" ht="12.75" customHeight="1" x14ac:dyDescent="0.3">
      <c r="B150" s="74"/>
      <c r="C150" s="74"/>
      <c r="D150" s="123"/>
      <c r="E150" s="75"/>
      <c r="F150" s="123"/>
      <c r="G150" s="191"/>
      <c r="H150" s="124"/>
      <c r="I150" s="140"/>
      <c r="J150" s="76"/>
      <c r="K150" s="77"/>
      <c r="L150" s="114" t="str">
        <f t="shared" si="6"/>
        <v/>
      </c>
      <c r="M150" s="91"/>
      <c r="N150" s="38" t="str">
        <f t="shared" si="7"/>
        <v/>
      </c>
      <c r="O150" s="38" t="str">
        <f t="shared" si="8"/>
        <v/>
      </c>
    </row>
    <row r="151" spans="2:15" ht="12.75" customHeight="1" x14ac:dyDescent="0.3">
      <c r="B151" s="74"/>
      <c r="C151" s="74"/>
      <c r="D151" s="123"/>
      <c r="E151" s="75"/>
      <c r="F151" s="123"/>
      <c r="G151" s="191"/>
      <c r="H151" s="124"/>
      <c r="I151" s="140"/>
      <c r="J151" s="76"/>
      <c r="K151" s="77"/>
      <c r="L151" s="114" t="str">
        <f t="shared" si="6"/>
        <v/>
      </c>
      <c r="M151" s="91"/>
      <c r="N151" s="38" t="str">
        <f t="shared" si="7"/>
        <v/>
      </c>
      <c r="O151" s="38" t="str">
        <f t="shared" si="8"/>
        <v/>
      </c>
    </row>
    <row r="152" spans="2:15" ht="12.75" customHeight="1" x14ac:dyDescent="0.3">
      <c r="B152" s="74"/>
      <c r="C152" s="74"/>
      <c r="D152" s="123"/>
      <c r="E152" s="75"/>
      <c r="F152" s="123"/>
      <c r="G152" s="191"/>
      <c r="H152" s="124"/>
      <c r="I152" s="140"/>
      <c r="J152" s="76"/>
      <c r="K152" s="77"/>
      <c r="L152" s="114" t="str">
        <f t="shared" si="6"/>
        <v/>
      </c>
      <c r="M152" s="91"/>
      <c r="N152" s="38" t="str">
        <f t="shared" si="7"/>
        <v/>
      </c>
      <c r="O152" s="38" t="str">
        <f t="shared" si="8"/>
        <v/>
      </c>
    </row>
    <row r="153" spans="2:15" ht="12.75" customHeight="1" x14ac:dyDescent="0.3">
      <c r="B153" s="74"/>
      <c r="C153" s="74"/>
      <c r="D153" s="123"/>
      <c r="E153" s="75"/>
      <c r="F153" s="123"/>
      <c r="G153" s="191"/>
      <c r="H153" s="124"/>
      <c r="I153" s="140"/>
      <c r="J153" s="76"/>
      <c r="K153" s="77"/>
      <c r="L153" s="114" t="str">
        <f t="shared" si="6"/>
        <v/>
      </c>
      <c r="M153" s="91"/>
      <c r="N153" s="38" t="str">
        <f t="shared" si="7"/>
        <v/>
      </c>
      <c r="O153" s="38" t="str">
        <f t="shared" si="8"/>
        <v/>
      </c>
    </row>
    <row r="154" spans="2:15" ht="12.75" customHeight="1" x14ac:dyDescent="0.3">
      <c r="B154" s="74"/>
      <c r="C154" s="74"/>
      <c r="D154" s="123"/>
      <c r="E154" s="75"/>
      <c r="F154" s="123"/>
      <c r="G154" s="191"/>
      <c r="H154" s="124"/>
      <c r="I154" s="140"/>
      <c r="J154" s="76"/>
      <c r="K154" s="77"/>
      <c r="L154" s="114" t="str">
        <f t="shared" si="6"/>
        <v/>
      </c>
      <c r="M154" s="91"/>
      <c r="N154" s="38" t="str">
        <f t="shared" si="7"/>
        <v/>
      </c>
      <c r="O154" s="38" t="str">
        <f t="shared" si="8"/>
        <v/>
      </c>
    </row>
    <row r="155" spans="2:15" ht="12.75" customHeight="1" x14ac:dyDescent="0.3">
      <c r="B155" s="74"/>
      <c r="C155" s="74"/>
      <c r="D155" s="123"/>
      <c r="E155" s="75"/>
      <c r="F155" s="123"/>
      <c r="G155" s="191"/>
      <c r="H155" s="124"/>
      <c r="I155" s="140"/>
      <c r="J155" s="76"/>
      <c r="K155" s="77"/>
      <c r="L155" s="114" t="str">
        <f t="shared" si="6"/>
        <v/>
      </c>
      <c r="M155" s="91"/>
      <c r="N155" s="38" t="str">
        <f t="shared" si="7"/>
        <v/>
      </c>
      <c r="O155" s="38" t="str">
        <f t="shared" si="8"/>
        <v/>
      </c>
    </row>
    <row r="156" spans="2:15" ht="12.75" customHeight="1" x14ac:dyDescent="0.3">
      <c r="B156" s="74"/>
      <c r="C156" s="74"/>
      <c r="D156" s="123"/>
      <c r="E156" s="75"/>
      <c r="F156" s="123"/>
      <c r="G156" s="191"/>
      <c r="H156" s="124"/>
      <c r="I156" s="140"/>
      <c r="J156" s="76"/>
      <c r="K156" s="77"/>
      <c r="L156" s="114" t="str">
        <f t="shared" si="6"/>
        <v/>
      </c>
      <c r="M156" s="91"/>
      <c r="N156" s="38" t="str">
        <f t="shared" si="7"/>
        <v/>
      </c>
      <c r="O156" s="38" t="str">
        <f t="shared" si="8"/>
        <v/>
      </c>
    </row>
    <row r="157" spans="2:15" ht="12.75" customHeight="1" x14ac:dyDescent="0.3">
      <c r="B157" s="74"/>
      <c r="C157" s="74"/>
      <c r="D157" s="123"/>
      <c r="E157" s="75"/>
      <c r="F157" s="123"/>
      <c r="G157" s="191"/>
      <c r="H157" s="124"/>
      <c r="I157" s="140"/>
      <c r="J157" s="76"/>
      <c r="K157" s="77"/>
      <c r="L157" s="114" t="str">
        <f t="shared" si="6"/>
        <v/>
      </c>
      <c r="M157" s="91"/>
      <c r="N157" s="38" t="str">
        <f t="shared" si="7"/>
        <v/>
      </c>
      <c r="O157" s="38" t="str">
        <f t="shared" si="8"/>
        <v/>
      </c>
    </row>
    <row r="158" spans="2:15" ht="12.75" customHeight="1" x14ac:dyDescent="0.3">
      <c r="B158" s="74"/>
      <c r="C158" s="74"/>
      <c r="D158" s="123"/>
      <c r="E158" s="75"/>
      <c r="F158" s="123"/>
      <c r="G158" s="191"/>
      <c r="H158" s="124"/>
      <c r="I158" s="140"/>
      <c r="J158" s="76"/>
      <c r="K158" s="77"/>
      <c r="L158" s="114" t="str">
        <f t="shared" si="6"/>
        <v/>
      </c>
      <c r="M158" s="91"/>
      <c r="N158" s="38" t="str">
        <f t="shared" si="7"/>
        <v/>
      </c>
      <c r="O158" s="38" t="str">
        <f t="shared" si="8"/>
        <v/>
      </c>
    </row>
    <row r="159" spans="2:15" ht="12.75" customHeight="1" x14ac:dyDescent="0.3">
      <c r="B159" s="74"/>
      <c r="C159" s="74"/>
      <c r="D159" s="123"/>
      <c r="E159" s="75"/>
      <c r="F159" s="123"/>
      <c r="G159" s="191"/>
      <c r="H159" s="124"/>
      <c r="I159" s="140"/>
      <c r="J159" s="76"/>
      <c r="K159" s="77"/>
      <c r="L159" s="114" t="str">
        <f t="shared" si="6"/>
        <v/>
      </c>
      <c r="M159" s="91"/>
      <c r="N159" s="38" t="str">
        <f t="shared" si="7"/>
        <v/>
      </c>
      <c r="O159" s="38" t="str">
        <f t="shared" si="8"/>
        <v/>
      </c>
    </row>
    <row r="160" spans="2:15" ht="12.75" customHeight="1" x14ac:dyDescent="0.3">
      <c r="B160" s="74"/>
      <c r="C160" s="74"/>
      <c r="D160" s="123"/>
      <c r="E160" s="75"/>
      <c r="F160" s="123"/>
      <c r="G160" s="191"/>
      <c r="H160" s="124"/>
      <c r="I160" s="140"/>
      <c r="J160" s="76"/>
      <c r="K160" s="77"/>
      <c r="L160" s="114" t="str">
        <f t="shared" si="6"/>
        <v/>
      </c>
      <c r="M160" s="91"/>
      <c r="N160" s="38" t="str">
        <f t="shared" si="7"/>
        <v/>
      </c>
      <c r="O160" s="38" t="str">
        <f t="shared" si="8"/>
        <v/>
      </c>
    </row>
    <row r="161" spans="2:15" ht="12.75" customHeight="1" x14ac:dyDescent="0.3">
      <c r="B161" s="74"/>
      <c r="C161" s="74"/>
      <c r="D161" s="123"/>
      <c r="E161" s="75"/>
      <c r="F161" s="123"/>
      <c r="G161" s="191"/>
      <c r="H161" s="124"/>
      <c r="I161" s="140"/>
      <c r="J161" s="76"/>
      <c r="K161" s="77"/>
      <c r="L161" s="114" t="str">
        <f t="shared" si="6"/>
        <v/>
      </c>
      <c r="M161" s="91"/>
      <c r="N161" s="38" t="str">
        <f t="shared" si="7"/>
        <v/>
      </c>
      <c r="O161" s="38" t="str">
        <f t="shared" si="8"/>
        <v/>
      </c>
    </row>
    <row r="162" spans="2:15" ht="12.75" customHeight="1" x14ac:dyDescent="0.3">
      <c r="B162" s="74"/>
      <c r="C162" s="74"/>
      <c r="D162" s="123"/>
      <c r="E162" s="75"/>
      <c r="F162" s="123"/>
      <c r="G162" s="191"/>
      <c r="H162" s="124"/>
      <c r="I162" s="140"/>
      <c r="J162" s="76"/>
      <c r="K162" s="77"/>
      <c r="L162" s="114" t="str">
        <f t="shared" si="6"/>
        <v/>
      </c>
      <c r="M162" s="91"/>
      <c r="N162" s="38" t="str">
        <f t="shared" si="7"/>
        <v/>
      </c>
      <c r="O162" s="38" t="str">
        <f t="shared" si="8"/>
        <v/>
      </c>
    </row>
    <row r="163" spans="2:15" ht="12.75" customHeight="1" x14ac:dyDescent="0.3">
      <c r="B163" s="74"/>
      <c r="C163" s="74"/>
      <c r="D163" s="123"/>
      <c r="E163" s="75"/>
      <c r="F163" s="123"/>
      <c r="G163" s="191"/>
      <c r="H163" s="124"/>
      <c r="I163" s="140"/>
      <c r="J163" s="76"/>
      <c r="K163" s="77"/>
      <c r="L163" s="114" t="str">
        <f t="shared" si="6"/>
        <v/>
      </c>
      <c r="M163" s="91"/>
      <c r="N163" s="38" t="str">
        <f t="shared" si="7"/>
        <v/>
      </c>
      <c r="O163" s="38" t="str">
        <f t="shared" si="8"/>
        <v/>
      </c>
    </row>
    <row r="164" spans="2:15" ht="12.75" customHeight="1" x14ac:dyDescent="0.3">
      <c r="B164" s="74"/>
      <c r="C164" s="74"/>
      <c r="D164" s="123"/>
      <c r="E164" s="75"/>
      <c r="F164" s="123"/>
      <c r="G164" s="191"/>
      <c r="H164" s="124"/>
      <c r="I164" s="140"/>
      <c r="J164" s="76"/>
      <c r="K164" s="77"/>
      <c r="L164" s="114" t="str">
        <f t="shared" si="6"/>
        <v/>
      </c>
      <c r="M164" s="91"/>
      <c r="N164" s="38" t="str">
        <f t="shared" si="7"/>
        <v/>
      </c>
      <c r="O164" s="38" t="str">
        <f t="shared" si="8"/>
        <v/>
      </c>
    </row>
    <row r="165" spans="2:15" ht="12.75" customHeight="1" x14ac:dyDescent="0.3">
      <c r="B165" s="74"/>
      <c r="C165" s="74"/>
      <c r="D165" s="123"/>
      <c r="E165" s="75"/>
      <c r="F165" s="123"/>
      <c r="G165" s="191"/>
      <c r="H165" s="124"/>
      <c r="I165" s="140"/>
      <c r="J165" s="76"/>
      <c r="K165" s="77"/>
      <c r="L165" s="114" t="str">
        <f t="shared" si="6"/>
        <v/>
      </c>
      <c r="M165" s="91"/>
      <c r="N165" s="38" t="str">
        <f t="shared" si="7"/>
        <v/>
      </c>
      <c r="O165" s="38" t="str">
        <f t="shared" si="8"/>
        <v/>
      </c>
    </row>
    <row r="166" spans="2:15" ht="12.75" customHeight="1" x14ac:dyDescent="0.3">
      <c r="B166" s="74"/>
      <c r="C166" s="74"/>
      <c r="D166" s="123"/>
      <c r="E166" s="75"/>
      <c r="F166" s="123"/>
      <c r="G166" s="191"/>
      <c r="H166" s="124"/>
      <c r="I166" s="140"/>
      <c r="J166" s="76"/>
      <c r="K166" s="77"/>
      <c r="L166" s="114" t="str">
        <f t="shared" si="6"/>
        <v/>
      </c>
      <c r="M166" s="91"/>
      <c r="N166" s="38" t="str">
        <f t="shared" si="7"/>
        <v/>
      </c>
      <c r="O166" s="38" t="str">
        <f t="shared" si="8"/>
        <v/>
      </c>
    </row>
    <row r="167" spans="2:15" ht="12.75" customHeight="1" x14ac:dyDescent="0.3">
      <c r="B167" s="74"/>
      <c r="C167" s="74"/>
      <c r="D167" s="123"/>
      <c r="E167" s="75"/>
      <c r="F167" s="123"/>
      <c r="G167" s="191"/>
      <c r="H167" s="124"/>
      <c r="I167" s="140"/>
      <c r="J167" s="76"/>
      <c r="K167" s="77"/>
      <c r="L167" s="114" t="str">
        <f t="shared" si="6"/>
        <v/>
      </c>
      <c r="M167" s="91"/>
      <c r="N167" s="38" t="str">
        <f t="shared" si="7"/>
        <v/>
      </c>
      <c r="O167" s="38" t="str">
        <f t="shared" si="8"/>
        <v/>
      </c>
    </row>
    <row r="168" spans="2:15" ht="12.75" customHeight="1" x14ac:dyDescent="0.3">
      <c r="B168" s="74"/>
      <c r="C168" s="74"/>
      <c r="D168" s="123"/>
      <c r="E168" s="75"/>
      <c r="F168" s="123"/>
      <c r="G168" s="191"/>
      <c r="H168" s="124"/>
      <c r="I168" s="140"/>
      <c r="J168" s="76"/>
      <c r="K168" s="77"/>
      <c r="L168" s="114" t="str">
        <f t="shared" si="6"/>
        <v/>
      </c>
      <c r="M168" s="91"/>
      <c r="N168" s="38" t="str">
        <f t="shared" si="7"/>
        <v/>
      </c>
      <c r="O168" s="38" t="str">
        <f t="shared" si="8"/>
        <v/>
      </c>
    </row>
    <row r="169" spans="2:15" ht="12.75" customHeight="1" x14ac:dyDescent="0.3">
      <c r="B169" s="74"/>
      <c r="C169" s="74"/>
      <c r="D169" s="123"/>
      <c r="E169" s="75"/>
      <c r="F169" s="123"/>
      <c r="G169" s="191"/>
      <c r="H169" s="124"/>
      <c r="I169" s="140"/>
      <c r="J169" s="76"/>
      <c r="K169" s="77"/>
      <c r="L169" s="114" t="str">
        <f t="shared" si="6"/>
        <v/>
      </c>
      <c r="M169" s="91"/>
      <c r="N169" s="38" t="str">
        <f t="shared" si="7"/>
        <v/>
      </c>
      <c r="O169" s="38" t="str">
        <f t="shared" si="8"/>
        <v/>
      </c>
    </row>
    <row r="170" spans="2:15" ht="12.75" customHeight="1" x14ac:dyDescent="0.3">
      <c r="B170" s="74"/>
      <c r="C170" s="74"/>
      <c r="D170" s="123"/>
      <c r="E170" s="75"/>
      <c r="F170" s="123"/>
      <c r="G170" s="191"/>
      <c r="H170" s="124"/>
      <c r="I170" s="140"/>
      <c r="J170" s="76"/>
      <c r="K170" s="77"/>
      <c r="L170" s="114" t="str">
        <f t="shared" si="6"/>
        <v/>
      </c>
      <c r="M170" s="91"/>
      <c r="N170" s="38" t="str">
        <f t="shared" si="7"/>
        <v/>
      </c>
      <c r="O170" s="38" t="str">
        <f t="shared" si="8"/>
        <v/>
      </c>
    </row>
    <row r="171" spans="2:15" ht="12.75" customHeight="1" x14ac:dyDescent="0.3">
      <c r="B171" s="74"/>
      <c r="C171" s="74"/>
      <c r="D171" s="123"/>
      <c r="E171" s="75"/>
      <c r="F171" s="123"/>
      <c r="G171" s="191"/>
      <c r="H171" s="124"/>
      <c r="I171" s="140"/>
      <c r="J171" s="76"/>
      <c r="K171" s="77"/>
      <c r="L171" s="114" t="str">
        <f t="shared" si="6"/>
        <v/>
      </c>
      <c r="M171" s="91"/>
      <c r="N171" s="38" t="str">
        <f t="shared" si="7"/>
        <v/>
      </c>
      <c r="O171" s="38" t="str">
        <f t="shared" si="8"/>
        <v/>
      </c>
    </row>
    <row r="172" spans="2:15" ht="12.75" customHeight="1" x14ac:dyDescent="0.3">
      <c r="B172" s="74"/>
      <c r="C172" s="74"/>
      <c r="D172" s="123"/>
      <c r="E172" s="75"/>
      <c r="F172" s="123"/>
      <c r="G172" s="191"/>
      <c r="H172" s="124"/>
      <c r="I172" s="140"/>
      <c r="J172" s="76"/>
      <c r="K172" s="77"/>
      <c r="L172" s="114" t="str">
        <f t="shared" si="6"/>
        <v/>
      </c>
      <c r="M172" s="91"/>
      <c r="N172" s="38" t="str">
        <f t="shared" si="7"/>
        <v/>
      </c>
      <c r="O172" s="38" t="str">
        <f t="shared" si="8"/>
        <v/>
      </c>
    </row>
    <row r="173" spans="2:15" ht="12.75" customHeight="1" x14ac:dyDescent="0.3">
      <c r="B173" s="74"/>
      <c r="C173" s="74"/>
      <c r="D173" s="123"/>
      <c r="E173" s="75"/>
      <c r="F173" s="123"/>
      <c r="G173" s="191"/>
      <c r="H173" s="124"/>
      <c r="I173" s="140"/>
      <c r="J173" s="76"/>
      <c r="K173" s="77"/>
      <c r="L173" s="114" t="str">
        <f t="shared" si="6"/>
        <v/>
      </c>
      <c r="M173" s="91"/>
      <c r="N173" s="38" t="str">
        <f t="shared" si="7"/>
        <v/>
      </c>
      <c r="O173" s="38" t="str">
        <f t="shared" si="8"/>
        <v/>
      </c>
    </row>
    <row r="174" spans="2:15" ht="12.75" customHeight="1" x14ac:dyDescent="0.3">
      <c r="B174" s="74"/>
      <c r="C174" s="74"/>
      <c r="D174" s="123"/>
      <c r="E174" s="75"/>
      <c r="F174" s="123"/>
      <c r="G174" s="191"/>
      <c r="H174" s="124"/>
      <c r="I174" s="140"/>
      <c r="J174" s="76"/>
      <c r="K174" s="77"/>
      <c r="L174" s="114" t="str">
        <f t="shared" si="6"/>
        <v/>
      </c>
      <c r="M174" s="91"/>
      <c r="N174" s="38" t="str">
        <f t="shared" si="7"/>
        <v/>
      </c>
      <c r="O174" s="38" t="str">
        <f t="shared" si="8"/>
        <v/>
      </c>
    </row>
    <row r="175" spans="2:15" ht="12.75" customHeight="1" x14ac:dyDescent="0.3">
      <c r="B175" s="74"/>
      <c r="C175" s="74"/>
      <c r="D175" s="123"/>
      <c r="E175" s="75"/>
      <c r="F175" s="123"/>
      <c r="G175" s="191"/>
      <c r="H175" s="124"/>
      <c r="I175" s="140"/>
      <c r="J175" s="76"/>
      <c r="K175" s="77"/>
      <c r="L175" s="114" t="str">
        <f t="shared" si="6"/>
        <v/>
      </c>
      <c r="M175" s="91"/>
      <c r="N175" s="38" t="str">
        <f t="shared" si="7"/>
        <v/>
      </c>
      <c r="O175" s="38" t="str">
        <f t="shared" si="8"/>
        <v/>
      </c>
    </row>
    <row r="176" spans="2:15" ht="12.75" customHeight="1" x14ac:dyDescent="0.3">
      <c r="B176" s="74"/>
      <c r="C176" s="74"/>
      <c r="D176" s="123"/>
      <c r="E176" s="75"/>
      <c r="F176" s="123"/>
      <c r="G176" s="191"/>
      <c r="H176" s="124"/>
      <c r="I176" s="140"/>
      <c r="J176" s="76"/>
      <c r="K176" s="77"/>
      <c r="L176" s="114" t="str">
        <f t="shared" si="6"/>
        <v/>
      </c>
      <c r="M176" s="91"/>
      <c r="N176" s="38" t="str">
        <f t="shared" si="7"/>
        <v/>
      </c>
      <c r="O176" s="38" t="str">
        <f t="shared" si="8"/>
        <v/>
      </c>
    </row>
    <row r="177" spans="2:15" ht="12.75" customHeight="1" x14ac:dyDescent="0.3">
      <c r="B177" s="74"/>
      <c r="C177" s="74"/>
      <c r="D177" s="123"/>
      <c r="E177" s="75"/>
      <c r="F177" s="123"/>
      <c r="G177" s="191"/>
      <c r="H177" s="124"/>
      <c r="I177" s="140"/>
      <c r="J177" s="76"/>
      <c r="K177" s="77"/>
      <c r="L177" s="114" t="str">
        <f t="shared" si="6"/>
        <v/>
      </c>
      <c r="M177" s="91"/>
      <c r="N177" s="38" t="str">
        <f t="shared" si="7"/>
        <v/>
      </c>
      <c r="O177" s="38" t="str">
        <f t="shared" si="8"/>
        <v/>
      </c>
    </row>
    <row r="178" spans="2:15" ht="12.75" customHeight="1" x14ac:dyDescent="0.3">
      <c r="B178" s="74"/>
      <c r="C178" s="74"/>
      <c r="D178" s="123"/>
      <c r="E178" s="75"/>
      <c r="F178" s="123"/>
      <c r="G178" s="191"/>
      <c r="H178" s="124"/>
      <c r="I178" s="140"/>
      <c r="J178" s="76"/>
      <c r="K178" s="77"/>
      <c r="L178" s="114" t="str">
        <f t="shared" si="6"/>
        <v/>
      </c>
      <c r="M178" s="91"/>
      <c r="N178" s="38" t="str">
        <f t="shared" si="7"/>
        <v/>
      </c>
      <c r="O178" s="38" t="str">
        <f t="shared" si="8"/>
        <v/>
      </c>
    </row>
    <row r="179" spans="2:15" ht="12.75" customHeight="1" x14ac:dyDescent="0.3">
      <c r="B179" s="74"/>
      <c r="C179" s="74"/>
      <c r="D179" s="123"/>
      <c r="E179" s="75"/>
      <c r="F179" s="123"/>
      <c r="G179" s="191"/>
      <c r="H179" s="124"/>
      <c r="I179" s="140"/>
      <c r="J179" s="76"/>
      <c r="K179" s="77"/>
      <c r="L179" s="114" t="str">
        <f t="shared" si="6"/>
        <v/>
      </c>
      <c r="M179" s="91"/>
      <c r="N179" s="38" t="str">
        <f t="shared" si="7"/>
        <v/>
      </c>
      <c r="O179" s="38" t="str">
        <f t="shared" si="8"/>
        <v/>
      </c>
    </row>
    <row r="180" spans="2:15" ht="12.75" customHeight="1" x14ac:dyDescent="0.3">
      <c r="B180" s="74"/>
      <c r="C180" s="74"/>
      <c r="D180" s="123"/>
      <c r="E180" s="75"/>
      <c r="F180" s="123"/>
      <c r="G180" s="191"/>
      <c r="H180" s="124"/>
      <c r="I180" s="140"/>
      <c r="J180" s="76"/>
      <c r="K180" s="77"/>
      <c r="L180" s="114" t="str">
        <f t="shared" si="6"/>
        <v/>
      </c>
      <c r="M180" s="91"/>
      <c r="N180" s="38" t="str">
        <f t="shared" si="7"/>
        <v/>
      </c>
      <c r="O180" s="38" t="str">
        <f t="shared" si="8"/>
        <v/>
      </c>
    </row>
    <row r="181" spans="2:15" ht="12.75" customHeight="1" x14ac:dyDescent="0.3">
      <c r="B181" s="74"/>
      <c r="C181" s="74"/>
      <c r="D181" s="123"/>
      <c r="E181" s="75"/>
      <c r="F181" s="123"/>
      <c r="G181" s="191"/>
      <c r="H181" s="124"/>
      <c r="I181" s="140"/>
      <c r="J181" s="76"/>
      <c r="K181" s="77"/>
      <c r="L181" s="114" t="str">
        <f t="shared" si="6"/>
        <v/>
      </c>
      <c r="M181" s="91"/>
      <c r="N181" s="38" t="str">
        <f t="shared" si="7"/>
        <v/>
      </c>
      <c r="O181" s="38" t="str">
        <f t="shared" si="8"/>
        <v/>
      </c>
    </row>
    <row r="182" spans="2:15" ht="12.75" customHeight="1" x14ac:dyDescent="0.3">
      <c r="B182" s="74"/>
      <c r="C182" s="74"/>
      <c r="D182" s="123"/>
      <c r="E182" s="75"/>
      <c r="F182" s="123"/>
      <c r="G182" s="191"/>
      <c r="H182" s="124"/>
      <c r="I182" s="140"/>
      <c r="J182" s="76"/>
      <c r="K182" s="77"/>
      <c r="L182" s="114" t="str">
        <f t="shared" si="6"/>
        <v/>
      </c>
      <c r="M182" s="91"/>
      <c r="N182" s="38" t="str">
        <f t="shared" si="7"/>
        <v/>
      </c>
      <c r="O182" s="38" t="str">
        <f t="shared" si="8"/>
        <v/>
      </c>
    </row>
    <row r="183" spans="2:15" ht="12.75" customHeight="1" x14ac:dyDescent="0.3">
      <c r="B183" s="74"/>
      <c r="C183" s="74"/>
      <c r="D183" s="123"/>
      <c r="E183" s="75"/>
      <c r="F183" s="123"/>
      <c r="G183" s="191"/>
      <c r="H183" s="124"/>
      <c r="I183" s="140"/>
      <c r="J183" s="76"/>
      <c r="K183" s="77"/>
      <c r="L183" s="114" t="str">
        <f t="shared" si="6"/>
        <v/>
      </c>
      <c r="M183" s="91"/>
      <c r="N183" s="38" t="str">
        <f t="shared" si="7"/>
        <v/>
      </c>
      <c r="O183" s="38" t="str">
        <f t="shared" si="8"/>
        <v/>
      </c>
    </row>
    <row r="184" spans="2:15" ht="12.75" customHeight="1" x14ac:dyDescent="0.3">
      <c r="B184" s="74"/>
      <c r="C184" s="74"/>
      <c r="D184" s="123"/>
      <c r="E184" s="75"/>
      <c r="F184" s="123"/>
      <c r="G184" s="191"/>
      <c r="H184" s="124"/>
      <c r="I184" s="140"/>
      <c r="J184" s="76"/>
      <c r="K184" s="77"/>
      <c r="L184" s="114" t="str">
        <f t="shared" si="6"/>
        <v/>
      </c>
      <c r="M184" s="91"/>
      <c r="N184" s="38" t="str">
        <f t="shared" si="7"/>
        <v/>
      </c>
      <c r="O184" s="38" t="str">
        <f t="shared" si="8"/>
        <v/>
      </c>
    </row>
    <row r="185" spans="2:15" ht="12.75" customHeight="1" x14ac:dyDescent="0.3">
      <c r="B185" s="74"/>
      <c r="C185" s="74"/>
      <c r="D185" s="123"/>
      <c r="E185" s="75"/>
      <c r="F185" s="123"/>
      <c r="G185" s="191"/>
      <c r="H185" s="124"/>
      <c r="I185" s="140"/>
      <c r="J185" s="76"/>
      <c r="K185" s="77"/>
      <c r="L185" s="114" t="str">
        <f t="shared" si="6"/>
        <v/>
      </c>
      <c r="M185" s="91"/>
      <c r="N185" s="38" t="str">
        <f t="shared" si="7"/>
        <v/>
      </c>
      <c r="O185" s="38" t="str">
        <f t="shared" si="8"/>
        <v/>
      </c>
    </row>
    <row r="186" spans="2:15" ht="12.75" customHeight="1" x14ac:dyDescent="0.3">
      <c r="B186" s="74"/>
      <c r="C186" s="74"/>
      <c r="D186" s="123"/>
      <c r="E186" s="75"/>
      <c r="F186" s="123"/>
      <c r="G186" s="191"/>
      <c r="H186" s="124"/>
      <c r="I186" s="140"/>
      <c r="J186" s="76"/>
      <c r="K186" s="77"/>
      <c r="L186" s="114" t="str">
        <f t="shared" si="6"/>
        <v/>
      </c>
      <c r="M186" s="91"/>
      <c r="N186" s="38" t="str">
        <f t="shared" si="7"/>
        <v/>
      </c>
      <c r="O186" s="38" t="str">
        <f t="shared" si="8"/>
        <v/>
      </c>
    </row>
    <row r="187" spans="2:15" ht="12.75" customHeight="1" x14ac:dyDescent="0.3">
      <c r="B187" s="74"/>
      <c r="C187" s="74"/>
      <c r="D187" s="123"/>
      <c r="E187" s="75"/>
      <c r="F187" s="123"/>
      <c r="G187" s="191"/>
      <c r="H187" s="124"/>
      <c r="I187" s="140"/>
      <c r="J187" s="76"/>
      <c r="K187" s="77"/>
      <c r="L187" s="114" t="str">
        <f t="shared" si="6"/>
        <v/>
      </c>
      <c r="M187" s="91"/>
      <c r="N187" s="38" t="str">
        <f t="shared" si="7"/>
        <v/>
      </c>
      <c r="O187" s="38" t="str">
        <f t="shared" si="8"/>
        <v/>
      </c>
    </row>
    <row r="188" spans="2:15" ht="12.75" customHeight="1" x14ac:dyDescent="0.3">
      <c r="B188" s="74"/>
      <c r="C188" s="74"/>
      <c r="D188" s="123"/>
      <c r="E188" s="75"/>
      <c r="F188" s="123"/>
      <c r="G188" s="191"/>
      <c r="H188" s="124"/>
      <c r="I188" s="140"/>
      <c r="J188" s="76"/>
      <c r="K188" s="77"/>
      <c r="L188" s="114" t="str">
        <f t="shared" si="6"/>
        <v/>
      </c>
      <c r="M188" s="91"/>
      <c r="N188" s="38" t="str">
        <f t="shared" si="7"/>
        <v/>
      </c>
      <c r="O188" s="38" t="str">
        <f t="shared" si="8"/>
        <v/>
      </c>
    </row>
    <row r="189" spans="2:15" ht="12.75" customHeight="1" x14ac:dyDescent="0.3">
      <c r="B189" s="74"/>
      <c r="C189" s="74"/>
      <c r="D189" s="123"/>
      <c r="E189" s="75"/>
      <c r="F189" s="123"/>
      <c r="G189" s="191"/>
      <c r="H189" s="124"/>
      <c r="I189" s="140"/>
      <c r="J189" s="76"/>
      <c r="K189" s="77"/>
      <c r="L189" s="114" t="str">
        <f t="shared" si="6"/>
        <v/>
      </c>
      <c r="M189" s="91"/>
      <c r="N189" s="38" t="str">
        <f t="shared" si="7"/>
        <v/>
      </c>
      <c r="O189" s="38" t="str">
        <f t="shared" si="8"/>
        <v/>
      </c>
    </row>
    <row r="190" spans="2:15" ht="12.75" customHeight="1" x14ac:dyDescent="0.3">
      <c r="B190" s="74"/>
      <c r="C190" s="74"/>
      <c r="D190" s="123"/>
      <c r="E190" s="75"/>
      <c r="F190" s="123"/>
      <c r="G190" s="191"/>
      <c r="H190" s="124"/>
      <c r="I190" s="140"/>
      <c r="J190" s="76"/>
      <c r="K190" s="77"/>
      <c r="L190" s="114" t="str">
        <f t="shared" si="6"/>
        <v/>
      </c>
      <c r="M190" s="91"/>
      <c r="N190" s="38" t="str">
        <f t="shared" si="7"/>
        <v/>
      </c>
      <c r="O190" s="38" t="str">
        <f t="shared" si="8"/>
        <v/>
      </c>
    </row>
    <row r="191" spans="2:15" ht="12.75" customHeight="1" x14ac:dyDescent="0.3">
      <c r="B191" s="74"/>
      <c r="C191" s="74"/>
      <c r="D191" s="123"/>
      <c r="E191" s="75"/>
      <c r="F191" s="123"/>
      <c r="G191" s="191"/>
      <c r="H191" s="124"/>
      <c r="I191" s="140"/>
      <c r="J191" s="76"/>
      <c r="K191" s="77"/>
      <c r="L191" s="114" t="str">
        <f t="shared" si="6"/>
        <v/>
      </c>
      <c r="M191" s="91"/>
      <c r="N191" s="38" t="str">
        <f t="shared" si="7"/>
        <v/>
      </c>
      <c r="O191" s="38" t="str">
        <f t="shared" si="8"/>
        <v/>
      </c>
    </row>
    <row r="192" spans="2:15" ht="12.75" customHeight="1" x14ac:dyDescent="0.3">
      <c r="B192" s="74"/>
      <c r="C192" s="74"/>
      <c r="D192" s="123"/>
      <c r="E192" s="75"/>
      <c r="F192" s="123"/>
      <c r="G192" s="191"/>
      <c r="H192" s="124"/>
      <c r="I192" s="140"/>
      <c r="J192" s="76"/>
      <c r="K192" s="77"/>
      <c r="L192" s="114" t="str">
        <f t="shared" si="6"/>
        <v/>
      </c>
      <c r="M192" s="91"/>
      <c r="N192" s="38" t="str">
        <f t="shared" si="7"/>
        <v/>
      </c>
      <c r="O192" s="38" t="str">
        <f t="shared" si="8"/>
        <v/>
      </c>
    </row>
    <row r="193" spans="2:15" ht="12.75" customHeight="1" x14ac:dyDescent="0.3">
      <c r="B193" s="74"/>
      <c r="C193" s="74"/>
      <c r="D193" s="123"/>
      <c r="E193" s="75"/>
      <c r="F193" s="123"/>
      <c r="G193" s="191"/>
      <c r="H193" s="124"/>
      <c r="I193" s="140"/>
      <c r="J193" s="76"/>
      <c r="K193" s="77"/>
      <c r="L193" s="114" t="str">
        <f t="shared" si="6"/>
        <v/>
      </c>
      <c r="M193" s="91"/>
      <c r="N193" s="38" t="str">
        <f t="shared" si="7"/>
        <v/>
      </c>
      <c r="O193" s="38" t="str">
        <f t="shared" si="8"/>
        <v/>
      </c>
    </row>
    <row r="194" spans="2:15" ht="12.75" customHeight="1" x14ac:dyDescent="0.3">
      <c r="B194" s="74"/>
      <c r="C194" s="74"/>
      <c r="D194" s="123"/>
      <c r="E194" s="75"/>
      <c r="F194" s="123"/>
      <c r="G194" s="191"/>
      <c r="H194" s="124"/>
      <c r="I194" s="140"/>
      <c r="J194" s="76"/>
      <c r="K194" s="77"/>
      <c r="L194" s="114" t="str">
        <f t="shared" si="6"/>
        <v/>
      </c>
      <c r="M194" s="91"/>
      <c r="N194" s="38" t="str">
        <f t="shared" si="7"/>
        <v/>
      </c>
      <c r="O194" s="38" t="str">
        <f t="shared" si="8"/>
        <v/>
      </c>
    </row>
    <row r="195" spans="2:15" ht="12.75" customHeight="1" x14ac:dyDescent="0.3">
      <c r="B195" s="74"/>
      <c r="C195" s="74"/>
      <c r="D195" s="123"/>
      <c r="E195" s="75"/>
      <c r="F195" s="123"/>
      <c r="G195" s="191"/>
      <c r="H195" s="124"/>
      <c r="I195" s="140"/>
      <c r="J195" s="76"/>
      <c r="K195" s="77"/>
      <c r="L195" s="114" t="str">
        <f t="shared" si="6"/>
        <v/>
      </c>
      <c r="M195" s="91"/>
      <c r="N195" s="38" t="str">
        <f t="shared" si="7"/>
        <v/>
      </c>
      <c r="O195" s="38" t="str">
        <f t="shared" si="8"/>
        <v/>
      </c>
    </row>
    <row r="196" spans="2:15" ht="12.75" customHeight="1" x14ac:dyDescent="0.3">
      <c r="B196" s="74"/>
      <c r="C196" s="74"/>
      <c r="D196" s="123"/>
      <c r="E196" s="75"/>
      <c r="F196" s="123"/>
      <c r="G196" s="191"/>
      <c r="H196" s="124"/>
      <c r="I196" s="140"/>
      <c r="J196" s="76"/>
      <c r="K196" s="77"/>
      <c r="L196" s="114" t="str">
        <f t="shared" si="6"/>
        <v/>
      </c>
      <c r="M196" s="91"/>
      <c r="N196" s="38" t="str">
        <f t="shared" si="7"/>
        <v/>
      </c>
      <c r="O196" s="38" t="str">
        <f t="shared" si="8"/>
        <v/>
      </c>
    </row>
    <row r="197" spans="2:15" ht="12.75" customHeight="1" x14ac:dyDescent="0.3">
      <c r="B197" s="74"/>
      <c r="C197" s="74"/>
      <c r="D197" s="123"/>
      <c r="E197" s="75"/>
      <c r="F197" s="123"/>
      <c r="G197" s="191"/>
      <c r="H197" s="124"/>
      <c r="I197" s="140"/>
      <c r="J197" s="76"/>
      <c r="K197" s="77"/>
      <c r="L197" s="114" t="str">
        <f t="shared" si="6"/>
        <v/>
      </c>
      <c r="M197" s="91"/>
      <c r="N197" s="38" t="str">
        <f t="shared" si="7"/>
        <v/>
      </c>
      <c r="O197" s="38" t="str">
        <f t="shared" si="8"/>
        <v/>
      </c>
    </row>
    <row r="198" spans="2:15" ht="12.75" customHeight="1" x14ac:dyDescent="0.3">
      <c r="B198" s="74"/>
      <c r="C198" s="74"/>
      <c r="D198" s="123"/>
      <c r="E198" s="75"/>
      <c r="F198" s="123"/>
      <c r="G198" s="191"/>
      <c r="H198" s="124"/>
      <c r="I198" s="140"/>
      <c r="J198" s="76"/>
      <c r="K198" s="77"/>
      <c r="L198" s="114" t="str">
        <f t="shared" si="6"/>
        <v/>
      </c>
      <c r="M198" s="91"/>
      <c r="N198" s="38" t="str">
        <f t="shared" si="7"/>
        <v/>
      </c>
      <c r="O198" s="38" t="str">
        <f t="shared" si="8"/>
        <v/>
      </c>
    </row>
    <row r="199" spans="2:15" ht="12.75" customHeight="1" x14ac:dyDescent="0.3">
      <c r="B199" s="74"/>
      <c r="C199" s="74"/>
      <c r="D199" s="123"/>
      <c r="E199" s="75"/>
      <c r="F199" s="123"/>
      <c r="G199" s="191"/>
      <c r="H199" s="124"/>
      <c r="I199" s="140"/>
      <c r="J199" s="76"/>
      <c r="K199" s="77"/>
      <c r="L199" s="114" t="str">
        <f t="shared" ref="L199:L262" si="9">IF(AND(OR($B199="",$C199="",$G199="",$H199="",$J199="",$K199="",AND($C199="Factuur",$J199="Openstaand",$F199="")),NOT(AND($B199="",$C199="",$G199="",$H199="",$J199="",$K199=""))),"Er ontbreken gegevens",IF(AND(NOT(ISBLANK($B199)),$O199&lt;&gt;$K$1),IF(AND($O199&lt;$K$1,$J199="Openstaand"),"Op beginbalans","Datum buiten boekjaar"),""))</f>
        <v/>
      </c>
      <c r="M199" s="91"/>
      <c r="N199" s="38" t="str">
        <f t="shared" ref="N199:N262" si="10">IFERROR(IF($B199="","",MONTH($B$6:$B$500)),0)</f>
        <v/>
      </c>
      <c r="O199" s="38" t="str">
        <f t="shared" ref="O199:O262" si="11">IFERROR(IF($B199="","",YEAR($B$6:$B$500)),0)</f>
        <v/>
      </c>
    </row>
    <row r="200" spans="2:15" ht="12.75" customHeight="1" x14ac:dyDescent="0.3">
      <c r="B200" s="74"/>
      <c r="C200" s="74"/>
      <c r="D200" s="123"/>
      <c r="E200" s="75"/>
      <c r="F200" s="123"/>
      <c r="G200" s="191"/>
      <c r="H200" s="124"/>
      <c r="I200" s="140"/>
      <c r="J200" s="76"/>
      <c r="K200" s="77"/>
      <c r="L200" s="114" t="str">
        <f t="shared" si="9"/>
        <v/>
      </c>
      <c r="M200" s="91"/>
      <c r="N200" s="38" t="str">
        <f t="shared" si="10"/>
        <v/>
      </c>
      <c r="O200" s="38" t="str">
        <f t="shared" si="11"/>
        <v/>
      </c>
    </row>
    <row r="201" spans="2:15" ht="12.75" customHeight="1" x14ac:dyDescent="0.3">
      <c r="B201" s="74"/>
      <c r="C201" s="74"/>
      <c r="D201" s="123"/>
      <c r="E201" s="75"/>
      <c r="F201" s="123"/>
      <c r="G201" s="191"/>
      <c r="H201" s="124"/>
      <c r="I201" s="140"/>
      <c r="J201" s="76"/>
      <c r="K201" s="77"/>
      <c r="L201" s="114" t="str">
        <f t="shared" si="9"/>
        <v/>
      </c>
      <c r="M201" s="91"/>
      <c r="N201" s="38" t="str">
        <f t="shared" si="10"/>
        <v/>
      </c>
      <c r="O201" s="38" t="str">
        <f t="shared" si="11"/>
        <v/>
      </c>
    </row>
    <row r="202" spans="2:15" ht="12.75" customHeight="1" x14ac:dyDescent="0.3">
      <c r="B202" s="74"/>
      <c r="C202" s="74"/>
      <c r="D202" s="123"/>
      <c r="E202" s="75"/>
      <c r="F202" s="123"/>
      <c r="G202" s="191"/>
      <c r="H202" s="124"/>
      <c r="I202" s="140"/>
      <c r="J202" s="76"/>
      <c r="K202" s="77"/>
      <c r="L202" s="114" t="str">
        <f t="shared" si="9"/>
        <v/>
      </c>
      <c r="M202" s="91"/>
      <c r="N202" s="38" t="str">
        <f t="shared" si="10"/>
        <v/>
      </c>
      <c r="O202" s="38" t="str">
        <f t="shared" si="11"/>
        <v/>
      </c>
    </row>
    <row r="203" spans="2:15" ht="12.75" customHeight="1" x14ac:dyDescent="0.3">
      <c r="B203" s="74"/>
      <c r="C203" s="74"/>
      <c r="D203" s="123"/>
      <c r="E203" s="75"/>
      <c r="F203" s="123"/>
      <c r="G203" s="191"/>
      <c r="H203" s="124"/>
      <c r="I203" s="140"/>
      <c r="J203" s="76"/>
      <c r="K203" s="77"/>
      <c r="L203" s="114" t="str">
        <f t="shared" si="9"/>
        <v/>
      </c>
      <c r="M203" s="91"/>
      <c r="N203" s="38" t="str">
        <f t="shared" si="10"/>
        <v/>
      </c>
      <c r="O203" s="38" t="str">
        <f t="shared" si="11"/>
        <v/>
      </c>
    </row>
    <row r="204" spans="2:15" ht="12.75" customHeight="1" x14ac:dyDescent="0.3">
      <c r="B204" s="74"/>
      <c r="C204" s="74"/>
      <c r="D204" s="123"/>
      <c r="E204" s="75"/>
      <c r="F204" s="123"/>
      <c r="G204" s="191"/>
      <c r="H204" s="124"/>
      <c r="I204" s="140"/>
      <c r="J204" s="76"/>
      <c r="K204" s="77"/>
      <c r="L204" s="114" t="str">
        <f t="shared" si="9"/>
        <v/>
      </c>
      <c r="M204" s="91"/>
      <c r="N204" s="38" t="str">
        <f t="shared" si="10"/>
        <v/>
      </c>
      <c r="O204" s="38" t="str">
        <f t="shared" si="11"/>
        <v/>
      </c>
    </row>
    <row r="205" spans="2:15" ht="12.75" customHeight="1" x14ac:dyDescent="0.3">
      <c r="B205" s="74"/>
      <c r="C205" s="74"/>
      <c r="D205" s="123"/>
      <c r="E205" s="75"/>
      <c r="F205" s="123"/>
      <c r="G205" s="191"/>
      <c r="H205" s="124"/>
      <c r="I205" s="140"/>
      <c r="J205" s="76"/>
      <c r="K205" s="77"/>
      <c r="L205" s="114" t="str">
        <f t="shared" si="9"/>
        <v/>
      </c>
      <c r="M205" s="91"/>
      <c r="N205" s="38" t="str">
        <f t="shared" si="10"/>
        <v/>
      </c>
      <c r="O205" s="38" t="str">
        <f t="shared" si="11"/>
        <v/>
      </c>
    </row>
    <row r="206" spans="2:15" ht="12.75" customHeight="1" x14ac:dyDescent="0.3">
      <c r="B206" s="74"/>
      <c r="C206" s="74"/>
      <c r="D206" s="123"/>
      <c r="E206" s="75"/>
      <c r="F206" s="123"/>
      <c r="G206" s="191"/>
      <c r="H206" s="124"/>
      <c r="I206" s="140"/>
      <c r="J206" s="76"/>
      <c r="K206" s="77"/>
      <c r="L206" s="114" t="str">
        <f t="shared" si="9"/>
        <v/>
      </c>
      <c r="M206" s="91"/>
      <c r="N206" s="38" t="str">
        <f t="shared" si="10"/>
        <v/>
      </c>
      <c r="O206" s="38" t="str">
        <f t="shared" si="11"/>
        <v/>
      </c>
    </row>
    <row r="207" spans="2:15" ht="12.75" customHeight="1" x14ac:dyDescent="0.3">
      <c r="B207" s="74"/>
      <c r="C207" s="74"/>
      <c r="D207" s="123"/>
      <c r="E207" s="75"/>
      <c r="F207" s="123"/>
      <c r="G207" s="191"/>
      <c r="H207" s="124"/>
      <c r="I207" s="140"/>
      <c r="J207" s="76"/>
      <c r="K207" s="77"/>
      <c r="L207" s="114" t="str">
        <f t="shared" si="9"/>
        <v/>
      </c>
      <c r="M207" s="91"/>
      <c r="N207" s="38" t="str">
        <f t="shared" si="10"/>
        <v/>
      </c>
      <c r="O207" s="38" t="str">
        <f t="shared" si="11"/>
        <v/>
      </c>
    </row>
    <row r="208" spans="2:15" ht="12.75" customHeight="1" x14ac:dyDescent="0.3">
      <c r="B208" s="74"/>
      <c r="C208" s="74"/>
      <c r="D208" s="123"/>
      <c r="E208" s="75"/>
      <c r="F208" s="123"/>
      <c r="G208" s="191"/>
      <c r="H208" s="124"/>
      <c r="I208" s="140"/>
      <c r="J208" s="76"/>
      <c r="K208" s="77"/>
      <c r="L208" s="114" t="str">
        <f t="shared" si="9"/>
        <v/>
      </c>
      <c r="M208" s="91"/>
      <c r="N208" s="38" t="str">
        <f t="shared" si="10"/>
        <v/>
      </c>
      <c r="O208" s="38" t="str">
        <f t="shared" si="11"/>
        <v/>
      </c>
    </row>
    <row r="209" spans="2:15" ht="12.75" customHeight="1" x14ac:dyDescent="0.3">
      <c r="B209" s="74"/>
      <c r="C209" s="74"/>
      <c r="D209" s="123"/>
      <c r="E209" s="75"/>
      <c r="F209" s="123"/>
      <c r="G209" s="191"/>
      <c r="H209" s="124"/>
      <c r="I209" s="140"/>
      <c r="J209" s="76"/>
      <c r="K209" s="77"/>
      <c r="L209" s="114" t="str">
        <f t="shared" si="9"/>
        <v/>
      </c>
      <c r="M209" s="91"/>
      <c r="N209" s="38" t="str">
        <f t="shared" si="10"/>
        <v/>
      </c>
      <c r="O209" s="38" t="str">
        <f t="shared" si="11"/>
        <v/>
      </c>
    </row>
    <row r="210" spans="2:15" ht="12.75" customHeight="1" x14ac:dyDescent="0.3">
      <c r="B210" s="74"/>
      <c r="C210" s="74"/>
      <c r="D210" s="123"/>
      <c r="E210" s="75"/>
      <c r="F210" s="123"/>
      <c r="G210" s="191"/>
      <c r="H210" s="124"/>
      <c r="I210" s="140"/>
      <c r="J210" s="76"/>
      <c r="K210" s="77"/>
      <c r="L210" s="114" t="str">
        <f t="shared" si="9"/>
        <v/>
      </c>
      <c r="M210" s="91"/>
      <c r="N210" s="38" t="str">
        <f t="shared" si="10"/>
        <v/>
      </c>
      <c r="O210" s="38" t="str">
        <f t="shared" si="11"/>
        <v/>
      </c>
    </row>
    <row r="211" spans="2:15" ht="12.75" customHeight="1" x14ac:dyDescent="0.3">
      <c r="B211" s="74"/>
      <c r="C211" s="74"/>
      <c r="D211" s="123"/>
      <c r="E211" s="75"/>
      <c r="F211" s="123"/>
      <c r="G211" s="191"/>
      <c r="H211" s="124"/>
      <c r="I211" s="140"/>
      <c r="J211" s="76"/>
      <c r="K211" s="77"/>
      <c r="L211" s="114" t="str">
        <f t="shared" si="9"/>
        <v/>
      </c>
      <c r="M211" s="91"/>
      <c r="N211" s="38" t="str">
        <f t="shared" si="10"/>
        <v/>
      </c>
      <c r="O211" s="38" t="str">
        <f t="shared" si="11"/>
        <v/>
      </c>
    </row>
    <row r="212" spans="2:15" ht="12.75" customHeight="1" x14ac:dyDescent="0.3">
      <c r="B212" s="74"/>
      <c r="C212" s="74"/>
      <c r="D212" s="123"/>
      <c r="E212" s="75"/>
      <c r="F212" s="123"/>
      <c r="G212" s="191"/>
      <c r="H212" s="124"/>
      <c r="I212" s="140"/>
      <c r="J212" s="76"/>
      <c r="K212" s="77"/>
      <c r="L212" s="114" t="str">
        <f t="shared" si="9"/>
        <v/>
      </c>
      <c r="M212" s="91"/>
      <c r="N212" s="38" t="str">
        <f t="shared" si="10"/>
        <v/>
      </c>
      <c r="O212" s="38" t="str">
        <f t="shared" si="11"/>
        <v/>
      </c>
    </row>
    <row r="213" spans="2:15" ht="12.75" customHeight="1" x14ac:dyDescent="0.3">
      <c r="B213" s="74"/>
      <c r="C213" s="74"/>
      <c r="D213" s="123"/>
      <c r="E213" s="75"/>
      <c r="F213" s="123"/>
      <c r="G213" s="191"/>
      <c r="H213" s="124"/>
      <c r="I213" s="140"/>
      <c r="J213" s="76"/>
      <c r="K213" s="77"/>
      <c r="L213" s="114" t="str">
        <f t="shared" si="9"/>
        <v/>
      </c>
      <c r="M213" s="91"/>
      <c r="N213" s="38" t="str">
        <f t="shared" si="10"/>
        <v/>
      </c>
      <c r="O213" s="38" t="str">
        <f t="shared" si="11"/>
        <v/>
      </c>
    </row>
    <row r="214" spans="2:15" ht="12.75" customHeight="1" x14ac:dyDescent="0.3">
      <c r="B214" s="74"/>
      <c r="C214" s="74"/>
      <c r="D214" s="123"/>
      <c r="E214" s="75"/>
      <c r="F214" s="123"/>
      <c r="G214" s="191"/>
      <c r="H214" s="124"/>
      <c r="I214" s="140"/>
      <c r="J214" s="76"/>
      <c r="K214" s="77"/>
      <c r="L214" s="114" t="str">
        <f t="shared" si="9"/>
        <v/>
      </c>
      <c r="M214" s="91"/>
      <c r="N214" s="38" t="str">
        <f t="shared" si="10"/>
        <v/>
      </c>
      <c r="O214" s="38" t="str">
        <f t="shared" si="11"/>
        <v/>
      </c>
    </row>
    <row r="215" spans="2:15" ht="12.75" customHeight="1" x14ac:dyDescent="0.3">
      <c r="B215" s="74"/>
      <c r="C215" s="74"/>
      <c r="D215" s="123"/>
      <c r="E215" s="75"/>
      <c r="F215" s="123"/>
      <c r="G215" s="191"/>
      <c r="H215" s="124"/>
      <c r="I215" s="140"/>
      <c r="J215" s="76"/>
      <c r="K215" s="77"/>
      <c r="L215" s="114" t="str">
        <f t="shared" si="9"/>
        <v/>
      </c>
      <c r="M215" s="91"/>
      <c r="N215" s="38" t="str">
        <f t="shared" si="10"/>
        <v/>
      </c>
      <c r="O215" s="38" t="str">
        <f t="shared" si="11"/>
        <v/>
      </c>
    </row>
    <row r="216" spans="2:15" ht="12.75" customHeight="1" x14ac:dyDescent="0.3">
      <c r="B216" s="74"/>
      <c r="C216" s="74"/>
      <c r="D216" s="123"/>
      <c r="E216" s="75"/>
      <c r="F216" s="123"/>
      <c r="G216" s="191"/>
      <c r="H216" s="124"/>
      <c r="I216" s="140"/>
      <c r="J216" s="76"/>
      <c r="K216" s="77"/>
      <c r="L216" s="114" t="str">
        <f t="shared" si="9"/>
        <v/>
      </c>
      <c r="M216" s="91"/>
      <c r="N216" s="38" t="str">
        <f t="shared" si="10"/>
        <v/>
      </c>
      <c r="O216" s="38" t="str">
        <f t="shared" si="11"/>
        <v/>
      </c>
    </row>
    <row r="217" spans="2:15" ht="12.75" customHeight="1" x14ac:dyDescent="0.3">
      <c r="B217" s="74"/>
      <c r="C217" s="74"/>
      <c r="D217" s="123"/>
      <c r="E217" s="75"/>
      <c r="F217" s="123"/>
      <c r="G217" s="191"/>
      <c r="H217" s="124"/>
      <c r="I217" s="140"/>
      <c r="J217" s="76"/>
      <c r="K217" s="77"/>
      <c r="L217" s="114" t="str">
        <f t="shared" si="9"/>
        <v/>
      </c>
      <c r="M217" s="91"/>
      <c r="N217" s="38" t="str">
        <f t="shared" si="10"/>
        <v/>
      </c>
      <c r="O217" s="38" t="str">
        <f t="shared" si="11"/>
        <v/>
      </c>
    </row>
    <row r="218" spans="2:15" ht="12.75" customHeight="1" x14ac:dyDescent="0.3">
      <c r="B218" s="74"/>
      <c r="C218" s="74"/>
      <c r="D218" s="123"/>
      <c r="E218" s="75"/>
      <c r="F218" s="123"/>
      <c r="G218" s="191"/>
      <c r="H218" s="124"/>
      <c r="I218" s="140"/>
      <c r="J218" s="76"/>
      <c r="K218" s="77"/>
      <c r="L218" s="114" t="str">
        <f t="shared" si="9"/>
        <v/>
      </c>
      <c r="M218" s="91"/>
      <c r="N218" s="38" t="str">
        <f t="shared" si="10"/>
        <v/>
      </c>
      <c r="O218" s="38" t="str">
        <f t="shared" si="11"/>
        <v/>
      </c>
    </row>
    <row r="219" spans="2:15" ht="12.75" customHeight="1" x14ac:dyDescent="0.3">
      <c r="B219" s="74"/>
      <c r="C219" s="74"/>
      <c r="D219" s="123"/>
      <c r="E219" s="75"/>
      <c r="F219" s="123"/>
      <c r="G219" s="191"/>
      <c r="H219" s="124"/>
      <c r="I219" s="140"/>
      <c r="J219" s="76"/>
      <c r="K219" s="77"/>
      <c r="L219" s="114" t="str">
        <f t="shared" si="9"/>
        <v/>
      </c>
      <c r="M219" s="91"/>
      <c r="N219" s="38" t="str">
        <f t="shared" si="10"/>
        <v/>
      </c>
      <c r="O219" s="38" t="str">
        <f t="shared" si="11"/>
        <v/>
      </c>
    </row>
    <row r="220" spans="2:15" ht="12.75" customHeight="1" x14ac:dyDescent="0.3">
      <c r="B220" s="74"/>
      <c r="C220" s="74"/>
      <c r="D220" s="123"/>
      <c r="E220" s="75"/>
      <c r="F220" s="123"/>
      <c r="G220" s="191"/>
      <c r="H220" s="124"/>
      <c r="I220" s="140"/>
      <c r="J220" s="76"/>
      <c r="K220" s="77"/>
      <c r="L220" s="114" t="str">
        <f t="shared" si="9"/>
        <v/>
      </c>
      <c r="M220" s="91"/>
      <c r="N220" s="38" t="str">
        <f t="shared" si="10"/>
        <v/>
      </c>
      <c r="O220" s="38" t="str">
        <f t="shared" si="11"/>
        <v/>
      </c>
    </row>
    <row r="221" spans="2:15" ht="12.75" customHeight="1" x14ac:dyDescent="0.3">
      <c r="B221" s="74"/>
      <c r="C221" s="74"/>
      <c r="D221" s="123"/>
      <c r="E221" s="75"/>
      <c r="F221" s="123"/>
      <c r="G221" s="191"/>
      <c r="H221" s="124"/>
      <c r="I221" s="140"/>
      <c r="J221" s="76"/>
      <c r="K221" s="77"/>
      <c r="L221" s="114" t="str">
        <f t="shared" si="9"/>
        <v/>
      </c>
      <c r="M221" s="91"/>
      <c r="N221" s="38" t="str">
        <f t="shared" si="10"/>
        <v/>
      </c>
      <c r="O221" s="38" t="str">
        <f t="shared" si="11"/>
        <v/>
      </c>
    </row>
    <row r="222" spans="2:15" ht="12.75" customHeight="1" x14ac:dyDescent="0.3">
      <c r="B222" s="74"/>
      <c r="C222" s="74"/>
      <c r="D222" s="123"/>
      <c r="E222" s="75"/>
      <c r="F222" s="123"/>
      <c r="G222" s="191"/>
      <c r="H222" s="124"/>
      <c r="I222" s="140"/>
      <c r="J222" s="76"/>
      <c r="K222" s="77"/>
      <c r="L222" s="114" t="str">
        <f t="shared" si="9"/>
        <v/>
      </c>
      <c r="M222" s="91"/>
      <c r="N222" s="38" t="str">
        <f t="shared" si="10"/>
        <v/>
      </c>
      <c r="O222" s="38" t="str">
        <f t="shared" si="11"/>
        <v/>
      </c>
    </row>
    <row r="223" spans="2:15" ht="12.75" customHeight="1" x14ac:dyDescent="0.3">
      <c r="B223" s="74"/>
      <c r="C223" s="74"/>
      <c r="D223" s="123"/>
      <c r="E223" s="75"/>
      <c r="F223" s="123"/>
      <c r="G223" s="191"/>
      <c r="H223" s="124"/>
      <c r="I223" s="140"/>
      <c r="J223" s="76"/>
      <c r="K223" s="77"/>
      <c r="L223" s="114" t="str">
        <f t="shared" si="9"/>
        <v/>
      </c>
      <c r="M223" s="91"/>
      <c r="N223" s="38" t="str">
        <f t="shared" si="10"/>
        <v/>
      </c>
      <c r="O223" s="38" t="str">
        <f t="shared" si="11"/>
        <v/>
      </c>
    </row>
    <row r="224" spans="2:15" ht="12.75" customHeight="1" x14ac:dyDescent="0.3">
      <c r="B224" s="74"/>
      <c r="C224" s="74"/>
      <c r="D224" s="123"/>
      <c r="E224" s="75"/>
      <c r="F224" s="123"/>
      <c r="G224" s="191"/>
      <c r="H224" s="124"/>
      <c r="I224" s="140"/>
      <c r="J224" s="76"/>
      <c r="K224" s="77"/>
      <c r="L224" s="114" t="str">
        <f t="shared" si="9"/>
        <v/>
      </c>
      <c r="M224" s="91"/>
      <c r="N224" s="38" t="str">
        <f t="shared" si="10"/>
        <v/>
      </c>
      <c r="O224" s="38" t="str">
        <f t="shared" si="11"/>
        <v/>
      </c>
    </row>
    <row r="225" spans="2:16" ht="12.75" customHeight="1" x14ac:dyDescent="0.3">
      <c r="B225" s="74"/>
      <c r="C225" s="74"/>
      <c r="D225" s="123"/>
      <c r="E225" s="75"/>
      <c r="F225" s="123"/>
      <c r="G225" s="191"/>
      <c r="H225" s="124"/>
      <c r="I225" s="140"/>
      <c r="J225" s="76"/>
      <c r="K225" s="77"/>
      <c r="L225" s="114" t="str">
        <f t="shared" si="9"/>
        <v/>
      </c>
      <c r="M225" s="91"/>
      <c r="N225" s="38" t="str">
        <f t="shared" si="10"/>
        <v/>
      </c>
      <c r="O225" s="38" t="str">
        <f t="shared" si="11"/>
        <v/>
      </c>
    </row>
    <row r="226" spans="2:16" x14ac:dyDescent="0.3">
      <c r="B226" s="74"/>
      <c r="C226" s="74"/>
      <c r="D226" s="123"/>
      <c r="E226" s="75"/>
      <c r="F226" s="123"/>
      <c r="G226" s="191"/>
      <c r="H226" s="124"/>
      <c r="I226" s="140"/>
      <c r="J226" s="76"/>
      <c r="K226" s="77"/>
      <c r="L226" s="114" t="str">
        <f t="shared" si="9"/>
        <v/>
      </c>
      <c r="M226" s="91"/>
      <c r="N226" s="38" t="str">
        <f t="shared" si="10"/>
        <v/>
      </c>
      <c r="O226" s="38" t="str">
        <f t="shared" si="11"/>
        <v/>
      </c>
    </row>
    <row r="227" spans="2:16" x14ac:dyDescent="0.3">
      <c r="B227" s="74"/>
      <c r="C227" s="74"/>
      <c r="D227" s="123"/>
      <c r="E227" s="75"/>
      <c r="F227" s="123"/>
      <c r="G227" s="191"/>
      <c r="H227" s="124"/>
      <c r="I227" s="140"/>
      <c r="J227" s="76"/>
      <c r="K227" s="77"/>
      <c r="L227" s="114" t="str">
        <f t="shared" si="9"/>
        <v/>
      </c>
      <c r="M227" s="91"/>
      <c r="N227" s="38" t="str">
        <f t="shared" si="10"/>
        <v/>
      </c>
      <c r="O227" s="38" t="str">
        <f t="shared" si="11"/>
        <v/>
      </c>
    </row>
    <row r="228" spans="2:16" x14ac:dyDescent="0.3">
      <c r="B228" s="74"/>
      <c r="C228" s="74"/>
      <c r="D228" s="123"/>
      <c r="E228" s="75"/>
      <c r="F228" s="123"/>
      <c r="G228" s="191"/>
      <c r="H228" s="124"/>
      <c r="I228" s="140"/>
      <c r="J228" s="76"/>
      <c r="K228" s="77"/>
      <c r="L228" s="114" t="str">
        <f t="shared" si="9"/>
        <v/>
      </c>
      <c r="M228" s="91"/>
      <c r="N228" s="38" t="str">
        <f t="shared" si="10"/>
        <v/>
      </c>
      <c r="O228" s="38" t="str">
        <f t="shared" si="11"/>
        <v/>
      </c>
    </row>
    <row r="229" spans="2:16" x14ac:dyDescent="0.3">
      <c r="B229" s="74"/>
      <c r="C229" s="74"/>
      <c r="D229" s="123"/>
      <c r="E229" s="75"/>
      <c r="F229" s="123"/>
      <c r="G229" s="191"/>
      <c r="H229" s="124"/>
      <c r="I229" s="140"/>
      <c r="J229" s="76"/>
      <c r="K229" s="77"/>
      <c r="L229" s="114" t="str">
        <f t="shared" si="9"/>
        <v/>
      </c>
      <c r="M229" s="91"/>
      <c r="N229" s="38" t="str">
        <f t="shared" si="10"/>
        <v/>
      </c>
      <c r="O229" s="38" t="str">
        <f t="shared" si="11"/>
        <v/>
      </c>
    </row>
    <row r="230" spans="2:16" x14ac:dyDescent="0.3">
      <c r="B230" s="74"/>
      <c r="C230" s="74"/>
      <c r="D230" s="123"/>
      <c r="E230" s="75"/>
      <c r="F230" s="123"/>
      <c r="G230" s="191"/>
      <c r="H230" s="124"/>
      <c r="I230" s="140"/>
      <c r="J230" s="76"/>
      <c r="K230" s="77"/>
      <c r="L230" s="114" t="str">
        <f t="shared" si="9"/>
        <v/>
      </c>
      <c r="M230" s="91"/>
      <c r="N230" s="38" t="str">
        <f t="shared" si="10"/>
        <v/>
      </c>
      <c r="O230" s="38" t="str">
        <f t="shared" si="11"/>
        <v/>
      </c>
      <c r="P230" s="219"/>
    </row>
    <row r="231" spans="2:16" x14ac:dyDescent="0.3">
      <c r="B231" s="74"/>
      <c r="C231" s="74"/>
      <c r="D231" s="123"/>
      <c r="E231" s="75"/>
      <c r="F231" s="123"/>
      <c r="G231" s="191"/>
      <c r="H231" s="124"/>
      <c r="I231" s="140"/>
      <c r="J231" s="76"/>
      <c r="K231" s="77"/>
      <c r="L231" s="114" t="str">
        <f t="shared" si="9"/>
        <v/>
      </c>
      <c r="M231" s="91"/>
      <c r="N231" s="38" t="str">
        <f t="shared" si="10"/>
        <v/>
      </c>
      <c r="O231" s="38" t="str">
        <f t="shared" si="11"/>
        <v/>
      </c>
      <c r="P231" s="219"/>
    </row>
    <row r="232" spans="2:16" x14ac:dyDescent="0.3">
      <c r="B232" s="74"/>
      <c r="C232" s="74"/>
      <c r="D232" s="123"/>
      <c r="E232" s="75"/>
      <c r="F232" s="123"/>
      <c r="G232" s="191"/>
      <c r="H232" s="124"/>
      <c r="I232" s="140"/>
      <c r="J232" s="76"/>
      <c r="K232" s="77"/>
      <c r="L232" s="114" t="str">
        <f t="shared" si="9"/>
        <v/>
      </c>
      <c r="M232" s="91"/>
      <c r="N232" s="38" t="str">
        <f t="shared" si="10"/>
        <v/>
      </c>
      <c r="O232" s="38" t="str">
        <f t="shared" si="11"/>
        <v/>
      </c>
      <c r="P232" s="219"/>
    </row>
    <row r="233" spans="2:16" x14ac:dyDescent="0.3">
      <c r="B233" s="74"/>
      <c r="C233" s="74"/>
      <c r="D233" s="123"/>
      <c r="E233" s="75"/>
      <c r="F233" s="123"/>
      <c r="G233" s="191"/>
      <c r="H233" s="124"/>
      <c r="I233" s="140"/>
      <c r="J233" s="76"/>
      <c r="K233" s="77"/>
      <c r="L233" s="114" t="str">
        <f t="shared" si="9"/>
        <v/>
      </c>
      <c r="M233" s="91"/>
      <c r="N233" s="38" t="str">
        <f t="shared" si="10"/>
        <v/>
      </c>
      <c r="O233" s="38" t="str">
        <f t="shared" si="11"/>
        <v/>
      </c>
      <c r="P233" s="219"/>
    </row>
    <row r="234" spans="2:16" x14ac:dyDescent="0.3">
      <c r="B234" s="74"/>
      <c r="C234" s="74"/>
      <c r="D234" s="123"/>
      <c r="E234" s="75"/>
      <c r="F234" s="123"/>
      <c r="G234" s="191"/>
      <c r="H234" s="124"/>
      <c r="I234" s="140"/>
      <c r="J234" s="76"/>
      <c r="K234" s="77"/>
      <c r="L234" s="114" t="str">
        <f t="shared" si="9"/>
        <v/>
      </c>
      <c r="M234" s="91"/>
      <c r="N234" s="38" t="str">
        <f t="shared" si="10"/>
        <v/>
      </c>
      <c r="O234" s="38" t="str">
        <f t="shared" si="11"/>
        <v/>
      </c>
      <c r="P234" s="219"/>
    </row>
    <row r="235" spans="2:16" x14ac:dyDescent="0.3">
      <c r="B235" s="74"/>
      <c r="C235" s="74"/>
      <c r="D235" s="123"/>
      <c r="E235" s="75"/>
      <c r="F235" s="123"/>
      <c r="G235" s="191"/>
      <c r="H235" s="124"/>
      <c r="I235" s="140"/>
      <c r="J235" s="76"/>
      <c r="K235" s="77"/>
      <c r="L235" s="114" t="str">
        <f t="shared" si="9"/>
        <v/>
      </c>
      <c r="M235" s="91"/>
      <c r="N235" s="38" t="str">
        <f t="shared" si="10"/>
        <v/>
      </c>
      <c r="O235" s="38" t="str">
        <f t="shared" si="11"/>
        <v/>
      </c>
      <c r="P235" s="219"/>
    </row>
    <row r="236" spans="2:16" x14ac:dyDescent="0.3">
      <c r="B236" s="74"/>
      <c r="C236" s="74"/>
      <c r="D236" s="123"/>
      <c r="E236" s="75"/>
      <c r="F236" s="123"/>
      <c r="G236" s="191"/>
      <c r="H236" s="124"/>
      <c r="I236" s="140"/>
      <c r="J236" s="76"/>
      <c r="K236" s="77"/>
      <c r="L236" s="114" t="str">
        <f t="shared" si="9"/>
        <v/>
      </c>
      <c r="M236" s="91"/>
      <c r="N236" s="38" t="str">
        <f t="shared" si="10"/>
        <v/>
      </c>
      <c r="O236" s="38" t="str">
        <f t="shared" si="11"/>
        <v/>
      </c>
      <c r="P236" s="219"/>
    </row>
    <row r="237" spans="2:16" x14ac:dyDescent="0.3">
      <c r="B237" s="74"/>
      <c r="C237" s="74"/>
      <c r="D237" s="123"/>
      <c r="E237" s="75"/>
      <c r="F237" s="123"/>
      <c r="G237" s="191"/>
      <c r="H237" s="124"/>
      <c r="I237" s="140"/>
      <c r="J237" s="76"/>
      <c r="K237" s="77"/>
      <c r="L237" s="114" t="str">
        <f t="shared" si="9"/>
        <v/>
      </c>
      <c r="M237" s="91"/>
      <c r="N237" s="38" t="str">
        <f t="shared" si="10"/>
        <v/>
      </c>
      <c r="O237" s="38" t="str">
        <f t="shared" si="11"/>
        <v/>
      </c>
      <c r="P237" s="219"/>
    </row>
    <row r="238" spans="2:16" x14ac:dyDescent="0.3">
      <c r="B238" s="74"/>
      <c r="C238" s="74"/>
      <c r="D238" s="123"/>
      <c r="E238" s="75"/>
      <c r="F238" s="123"/>
      <c r="G238" s="191"/>
      <c r="H238" s="124"/>
      <c r="I238" s="140"/>
      <c r="J238" s="76"/>
      <c r="K238" s="77"/>
      <c r="L238" s="114" t="str">
        <f t="shared" si="9"/>
        <v/>
      </c>
      <c r="M238" s="91"/>
      <c r="N238" s="38" t="str">
        <f t="shared" si="10"/>
        <v/>
      </c>
      <c r="O238" s="38" t="str">
        <f t="shared" si="11"/>
        <v/>
      </c>
      <c r="P238" s="219"/>
    </row>
    <row r="239" spans="2:16" x14ac:dyDescent="0.3">
      <c r="B239" s="74"/>
      <c r="C239" s="74"/>
      <c r="D239" s="123"/>
      <c r="E239" s="75"/>
      <c r="F239" s="123"/>
      <c r="G239" s="191"/>
      <c r="H239" s="124"/>
      <c r="I239" s="140"/>
      <c r="J239" s="76"/>
      <c r="K239" s="77"/>
      <c r="L239" s="114" t="str">
        <f t="shared" si="9"/>
        <v/>
      </c>
      <c r="M239" s="91"/>
      <c r="N239" s="38" t="str">
        <f t="shared" si="10"/>
        <v/>
      </c>
      <c r="O239" s="38" t="str">
        <f t="shared" si="11"/>
        <v/>
      </c>
      <c r="P239" s="219"/>
    </row>
    <row r="240" spans="2:16" x14ac:dyDescent="0.3">
      <c r="B240" s="74"/>
      <c r="C240" s="74"/>
      <c r="D240" s="123"/>
      <c r="E240" s="75"/>
      <c r="F240" s="123"/>
      <c r="G240" s="191"/>
      <c r="H240" s="124"/>
      <c r="I240" s="140"/>
      <c r="J240" s="76"/>
      <c r="K240" s="77"/>
      <c r="L240" s="114" t="str">
        <f t="shared" si="9"/>
        <v/>
      </c>
      <c r="M240" s="91"/>
      <c r="N240" s="38" t="str">
        <f t="shared" si="10"/>
        <v/>
      </c>
      <c r="O240" s="38" t="str">
        <f t="shared" si="11"/>
        <v/>
      </c>
      <c r="P240" s="219"/>
    </row>
    <row r="241" spans="2:16" x14ac:dyDescent="0.3">
      <c r="B241" s="74"/>
      <c r="C241" s="74"/>
      <c r="D241" s="123"/>
      <c r="E241" s="75"/>
      <c r="F241" s="123"/>
      <c r="G241" s="191"/>
      <c r="H241" s="124"/>
      <c r="I241" s="140"/>
      <c r="J241" s="76"/>
      <c r="K241" s="77"/>
      <c r="L241" s="114" t="str">
        <f t="shared" si="9"/>
        <v/>
      </c>
      <c r="M241" s="91"/>
      <c r="N241" s="38" t="str">
        <f t="shared" si="10"/>
        <v/>
      </c>
      <c r="O241" s="38" t="str">
        <f t="shared" si="11"/>
        <v/>
      </c>
      <c r="P241" s="219"/>
    </row>
    <row r="242" spans="2:16" x14ac:dyDescent="0.3">
      <c r="B242" s="74"/>
      <c r="C242" s="74"/>
      <c r="D242" s="123"/>
      <c r="E242" s="75"/>
      <c r="F242" s="123"/>
      <c r="G242" s="191"/>
      <c r="H242" s="124"/>
      <c r="I242" s="140"/>
      <c r="J242" s="76"/>
      <c r="K242" s="77"/>
      <c r="L242" s="114" t="str">
        <f t="shared" si="9"/>
        <v/>
      </c>
      <c r="M242" s="91"/>
      <c r="N242" s="38" t="str">
        <f t="shared" si="10"/>
        <v/>
      </c>
      <c r="O242" s="38" t="str">
        <f t="shared" si="11"/>
        <v/>
      </c>
      <c r="P242" s="219"/>
    </row>
    <row r="243" spans="2:16" x14ac:dyDescent="0.3">
      <c r="B243" s="74"/>
      <c r="C243" s="74"/>
      <c r="D243" s="123"/>
      <c r="E243" s="75"/>
      <c r="F243" s="123"/>
      <c r="G243" s="191"/>
      <c r="H243" s="124"/>
      <c r="I243" s="140"/>
      <c r="J243" s="76"/>
      <c r="K243" s="77"/>
      <c r="L243" s="114" t="str">
        <f t="shared" si="9"/>
        <v/>
      </c>
      <c r="M243" s="91"/>
      <c r="N243" s="38" t="str">
        <f t="shared" si="10"/>
        <v/>
      </c>
      <c r="O243" s="38" t="str">
        <f t="shared" si="11"/>
        <v/>
      </c>
      <c r="P243" s="219"/>
    </row>
    <row r="244" spans="2:16" x14ac:dyDescent="0.3">
      <c r="B244" s="74"/>
      <c r="C244" s="74"/>
      <c r="D244" s="123"/>
      <c r="E244" s="75"/>
      <c r="F244" s="123"/>
      <c r="G244" s="191"/>
      <c r="H244" s="124"/>
      <c r="I244" s="140"/>
      <c r="J244" s="76"/>
      <c r="K244" s="77"/>
      <c r="L244" s="114" t="str">
        <f t="shared" si="9"/>
        <v/>
      </c>
      <c r="M244" s="91"/>
      <c r="N244" s="38" t="str">
        <f t="shared" si="10"/>
        <v/>
      </c>
      <c r="O244" s="38" t="str">
        <f t="shared" si="11"/>
        <v/>
      </c>
      <c r="P244" s="219"/>
    </row>
    <row r="245" spans="2:16" x14ac:dyDescent="0.3">
      <c r="B245" s="74"/>
      <c r="C245" s="74"/>
      <c r="D245" s="123"/>
      <c r="E245" s="75"/>
      <c r="F245" s="123"/>
      <c r="G245" s="191"/>
      <c r="H245" s="124"/>
      <c r="I245" s="140"/>
      <c r="J245" s="76"/>
      <c r="K245" s="77"/>
      <c r="L245" s="114" t="str">
        <f t="shared" si="9"/>
        <v/>
      </c>
      <c r="M245" s="91"/>
      <c r="N245" s="38" t="str">
        <f t="shared" si="10"/>
        <v/>
      </c>
      <c r="O245" s="38" t="str">
        <f t="shared" si="11"/>
        <v/>
      </c>
      <c r="P245" s="219"/>
    </row>
    <row r="246" spans="2:16" x14ac:dyDescent="0.3">
      <c r="B246" s="74"/>
      <c r="C246" s="74"/>
      <c r="D246" s="123"/>
      <c r="E246" s="75"/>
      <c r="F246" s="123"/>
      <c r="G246" s="191"/>
      <c r="H246" s="124"/>
      <c r="I246" s="140"/>
      <c r="J246" s="76"/>
      <c r="K246" s="77"/>
      <c r="L246" s="114" t="str">
        <f t="shared" si="9"/>
        <v/>
      </c>
      <c r="M246" s="91"/>
      <c r="N246" s="38" t="str">
        <f t="shared" si="10"/>
        <v/>
      </c>
      <c r="O246" s="38" t="str">
        <f t="shared" si="11"/>
        <v/>
      </c>
      <c r="P246" s="219"/>
    </row>
    <row r="247" spans="2:16" x14ac:dyDescent="0.3">
      <c r="B247" s="74"/>
      <c r="C247" s="74"/>
      <c r="D247" s="123"/>
      <c r="E247" s="75"/>
      <c r="F247" s="123"/>
      <c r="G247" s="191"/>
      <c r="H247" s="124"/>
      <c r="I247" s="140"/>
      <c r="J247" s="76"/>
      <c r="K247" s="77"/>
      <c r="L247" s="114" t="str">
        <f t="shared" si="9"/>
        <v/>
      </c>
      <c r="M247" s="91"/>
      <c r="N247" s="38" t="str">
        <f t="shared" si="10"/>
        <v/>
      </c>
      <c r="O247" s="38" t="str">
        <f t="shared" si="11"/>
        <v/>
      </c>
      <c r="P247" s="219"/>
    </row>
    <row r="248" spans="2:16" x14ac:dyDescent="0.3">
      <c r="B248" s="74"/>
      <c r="C248" s="74"/>
      <c r="D248" s="123"/>
      <c r="E248" s="75"/>
      <c r="F248" s="123"/>
      <c r="G248" s="191"/>
      <c r="H248" s="124"/>
      <c r="I248" s="140"/>
      <c r="J248" s="76"/>
      <c r="K248" s="77"/>
      <c r="L248" s="114" t="str">
        <f t="shared" si="9"/>
        <v/>
      </c>
      <c r="M248" s="91"/>
      <c r="N248" s="38" t="str">
        <f t="shared" si="10"/>
        <v/>
      </c>
      <c r="O248" s="38" t="str">
        <f t="shared" si="11"/>
        <v/>
      </c>
      <c r="P248" s="219"/>
    </row>
    <row r="249" spans="2:16" x14ac:dyDescent="0.3">
      <c r="B249" s="74"/>
      <c r="C249" s="74"/>
      <c r="D249" s="123"/>
      <c r="E249" s="75"/>
      <c r="F249" s="123"/>
      <c r="G249" s="191"/>
      <c r="H249" s="124"/>
      <c r="I249" s="140"/>
      <c r="J249" s="76"/>
      <c r="K249" s="77"/>
      <c r="L249" s="114" t="str">
        <f t="shared" si="9"/>
        <v/>
      </c>
      <c r="M249" s="91"/>
      <c r="N249" s="38" t="str">
        <f t="shared" si="10"/>
        <v/>
      </c>
      <c r="O249" s="38" t="str">
        <f t="shared" si="11"/>
        <v/>
      </c>
      <c r="P249" s="219"/>
    </row>
    <row r="250" spans="2:16" x14ac:dyDescent="0.3">
      <c r="B250" s="74"/>
      <c r="C250" s="74"/>
      <c r="D250" s="123"/>
      <c r="E250" s="75"/>
      <c r="F250" s="123"/>
      <c r="G250" s="191"/>
      <c r="H250" s="124"/>
      <c r="I250" s="140"/>
      <c r="J250" s="76"/>
      <c r="K250" s="77"/>
      <c r="L250" s="114" t="str">
        <f t="shared" si="9"/>
        <v/>
      </c>
      <c r="M250" s="91"/>
      <c r="N250" s="38" t="str">
        <f t="shared" si="10"/>
        <v/>
      </c>
      <c r="O250" s="38" t="str">
        <f t="shared" si="11"/>
        <v/>
      </c>
      <c r="P250" s="219"/>
    </row>
    <row r="251" spans="2:16" x14ac:dyDescent="0.3">
      <c r="B251" s="74"/>
      <c r="C251" s="74"/>
      <c r="D251" s="123"/>
      <c r="E251" s="75"/>
      <c r="F251" s="123"/>
      <c r="G251" s="191"/>
      <c r="H251" s="124"/>
      <c r="I251" s="140"/>
      <c r="J251" s="76"/>
      <c r="K251" s="77"/>
      <c r="L251" s="114" t="str">
        <f t="shared" si="9"/>
        <v/>
      </c>
      <c r="M251" s="91"/>
      <c r="N251" s="38" t="str">
        <f t="shared" si="10"/>
        <v/>
      </c>
      <c r="O251" s="38" t="str">
        <f t="shared" si="11"/>
        <v/>
      </c>
      <c r="P251" s="219"/>
    </row>
    <row r="252" spans="2:16" x14ac:dyDescent="0.3">
      <c r="B252" s="74"/>
      <c r="C252" s="74"/>
      <c r="D252" s="123"/>
      <c r="E252" s="75"/>
      <c r="F252" s="123"/>
      <c r="G252" s="191"/>
      <c r="H252" s="124"/>
      <c r="I252" s="140"/>
      <c r="J252" s="76"/>
      <c r="K252" s="77"/>
      <c r="L252" s="114" t="str">
        <f t="shared" si="9"/>
        <v/>
      </c>
      <c r="M252" s="91"/>
      <c r="N252" s="38" t="str">
        <f t="shared" si="10"/>
        <v/>
      </c>
      <c r="O252" s="38" t="str">
        <f t="shared" si="11"/>
        <v/>
      </c>
      <c r="P252" s="219"/>
    </row>
    <row r="253" spans="2:16" x14ac:dyDescent="0.3">
      <c r="B253" s="74"/>
      <c r="C253" s="74"/>
      <c r="D253" s="123"/>
      <c r="E253" s="75"/>
      <c r="F253" s="123"/>
      <c r="G253" s="191"/>
      <c r="H253" s="124"/>
      <c r="I253" s="140"/>
      <c r="J253" s="76"/>
      <c r="K253" s="77"/>
      <c r="L253" s="114" t="str">
        <f t="shared" si="9"/>
        <v/>
      </c>
      <c r="M253" s="91"/>
      <c r="N253" s="38" t="str">
        <f t="shared" si="10"/>
        <v/>
      </c>
      <c r="O253" s="38" t="str">
        <f t="shared" si="11"/>
        <v/>
      </c>
      <c r="P253" s="219"/>
    </row>
    <row r="254" spans="2:16" x14ac:dyDescent="0.3">
      <c r="B254" s="74"/>
      <c r="C254" s="74"/>
      <c r="D254" s="123"/>
      <c r="E254" s="75"/>
      <c r="F254" s="123"/>
      <c r="G254" s="191"/>
      <c r="H254" s="124"/>
      <c r="I254" s="140"/>
      <c r="J254" s="76"/>
      <c r="K254" s="77"/>
      <c r="L254" s="114" t="str">
        <f t="shared" si="9"/>
        <v/>
      </c>
      <c r="M254" s="91"/>
      <c r="N254" s="38" t="str">
        <f t="shared" si="10"/>
        <v/>
      </c>
      <c r="O254" s="38" t="str">
        <f t="shared" si="11"/>
        <v/>
      </c>
      <c r="P254" s="219"/>
    </row>
    <row r="255" spans="2:16" x14ac:dyDescent="0.3">
      <c r="B255" s="74"/>
      <c r="C255" s="74"/>
      <c r="D255" s="123"/>
      <c r="E255" s="75"/>
      <c r="F255" s="123"/>
      <c r="G255" s="191"/>
      <c r="H255" s="124"/>
      <c r="I255" s="140"/>
      <c r="J255" s="76"/>
      <c r="K255" s="77"/>
      <c r="L255" s="114" t="str">
        <f t="shared" si="9"/>
        <v/>
      </c>
      <c r="M255" s="91"/>
      <c r="N255" s="38" t="str">
        <f t="shared" si="10"/>
        <v/>
      </c>
      <c r="O255" s="38" t="str">
        <f t="shared" si="11"/>
        <v/>
      </c>
      <c r="P255" s="219"/>
    </row>
    <row r="256" spans="2:16" x14ac:dyDescent="0.3">
      <c r="B256" s="74"/>
      <c r="C256" s="74"/>
      <c r="D256" s="123"/>
      <c r="E256" s="75"/>
      <c r="F256" s="123"/>
      <c r="G256" s="191"/>
      <c r="H256" s="124"/>
      <c r="I256" s="140"/>
      <c r="J256" s="76"/>
      <c r="K256" s="77"/>
      <c r="L256" s="114" t="str">
        <f t="shared" si="9"/>
        <v/>
      </c>
      <c r="M256" s="91"/>
      <c r="N256" s="38" t="str">
        <f t="shared" si="10"/>
        <v/>
      </c>
      <c r="O256" s="38" t="str">
        <f t="shared" si="11"/>
        <v/>
      </c>
      <c r="P256" s="219"/>
    </row>
    <row r="257" spans="2:16" x14ac:dyDescent="0.3">
      <c r="B257" s="74"/>
      <c r="C257" s="74"/>
      <c r="D257" s="123"/>
      <c r="E257" s="75"/>
      <c r="F257" s="123"/>
      <c r="G257" s="191"/>
      <c r="H257" s="124"/>
      <c r="I257" s="140"/>
      <c r="J257" s="76"/>
      <c r="K257" s="77"/>
      <c r="L257" s="114" t="str">
        <f t="shared" si="9"/>
        <v/>
      </c>
      <c r="M257" s="91"/>
      <c r="N257" s="38" t="str">
        <f t="shared" si="10"/>
        <v/>
      </c>
      <c r="O257" s="38" t="str">
        <f t="shared" si="11"/>
        <v/>
      </c>
      <c r="P257" s="219"/>
    </row>
    <row r="258" spans="2:16" x14ac:dyDescent="0.3">
      <c r="B258" s="74"/>
      <c r="C258" s="74"/>
      <c r="D258" s="123"/>
      <c r="E258" s="75"/>
      <c r="F258" s="123"/>
      <c r="G258" s="191"/>
      <c r="H258" s="124"/>
      <c r="I258" s="140"/>
      <c r="J258" s="76"/>
      <c r="K258" s="77"/>
      <c r="L258" s="114" t="str">
        <f t="shared" si="9"/>
        <v/>
      </c>
      <c r="M258" s="91"/>
      <c r="N258" s="38" t="str">
        <f t="shared" si="10"/>
        <v/>
      </c>
      <c r="O258" s="38" t="str">
        <f t="shared" si="11"/>
        <v/>
      </c>
      <c r="P258" s="219"/>
    </row>
    <row r="259" spans="2:16" x14ac:dyDescent="0.3">
      <c r="B259" s="74"/>
      <c r="C259" s="74"/>
      <c r="D259" s="123"/>
      <c r="E259" s="75"/>
      <c r="F259" s="123"/>
      <c r="G259" s="191"/>
      <c r="H259" s="124"/>
      <c r="I259" s="140"/>
      <c r="J259" s="76"/>
      <c r="K259" s="77"/>
      <c r="L259" s="114" t="str">
        <f t="shared" si="9"/>
        <v/>
      </c>
      <c r="M259" s="91"/>
      <c r="N259" s="38" t="str">
        <f t="shared" si="10"/>
        <v/>
      </c>
      <c r="O259" s="38" t="str">
        <f t="shared" si="11"/>
        <v/>
      </c>
      <c r="P259" s="219"/>
    </row>
    <row r="260" spans="2:16" x14ac:dyDescent="0.3">
      <c r="B260" s="74"/>
      <c r="C260" s="74"/>
      <c r="D260" s="123"/>
      <c r="E260" s="75"/>
      <c r="F260" s="123"/>
      <c r="G260" s="191"/>
      <c r="H260" s="124"/>
      <c r="I260" s="140"/>
      <c r="J260" s="76"/>
      <c r="K260" s="77"/>
      <c r="L260" s="114" t="str">
        <f t="shared" si="9"/>
        <v/>
      </c>
      <c r="M260" s="91"/>
      <c r="N260" s="38" t="str">
        <f t="shared" si="10"/>
        <v/>
      </c>
      <c r="O260" s="38" t="str">
        <f t="shared" si="11"/>
        <v/>
      </c>
      <c r="P260" s="219"/>
    </row>
    <row r="261" spans="2:16" x14ac:dyDescent="0.3">
      <c r="B261" s="74"/>
      <c r="C261" s="74"/>
      <c r="D261" s="123"/>
      <c r="E261" s="75"/>
      <c r="F261" s="123"/>
      <c r="G261" s="191"/>
      <c r="H261" s="124"/>
      <c r="I261" s="140"/>
      <c r="J261" s="76"/>
      <c r="K261" s="77"/>
      <c r="L261" s="114" t="str">
        <f t="shared" si="9"/>
        <v/>
      </c>
      <c r="M261" s="91"/>
      <c r="N261" s="38" t="str">
        <f t="shared" si="10"/>
        <v/>
      </c>
      <c r="O261" s="38" t="str">
        <f t="shared" si="11"/>
        <v/>
      </c>
      <c r="P261" s="219"/>
    </row>
    <row r="262" spans="2:16" x14ac:dyDescent="0.3">
      <c r="B262" s="74"/>
      <c r="C262" s="74"/>
      <c r="D262" s="123"/>
      <c r="E262" s="75"/>
      <c r="F262" s="123"/>
      <c r="G262" s="191"/>
      <c r="H262" s="124"/>
      <c r="I262" s="140"/>
      <c r="J262" s="76"/>
      <c r="K262" s="77"/>
      <c r="L262" s="114" t="str">
        <f t="shared" si="9"/>
        <v/>
      </c>
      <c r="M262" s="91"/>
      <c r="N262" s="38" t="str">
        <f t="shared" si="10"/>
        <v/>
      </c>
      <c r="O262" s="38" t="str">
        <f t="shared" si="11"/>
        <v/>
      </c>
      <c r="P262" s="219"/>
    </row>
    <row r="263" spans="2:16" x14ac:dyDescent="0.3">
      <c r="B263" s="74"/>
      <c r="C263" s="74"/>
      <c r="D263" s="123"/>
      <c r="E263" s="75"/>
      <c r="F263" s="123"/>
      <c r="G263" s="191"/>
      <c r="H263" s="124"/>
      <c r="I263" s="140"/>
      <c r="J263" s="76"/>
      <c r="K263" s="77"/>
      <c r="L263" s="114" t="str">
        <f t="shared" ref="L263:L326" si="12">IF(AND(OR($B263="",$C263="",$G263="",$H263="",$J263="",$K263="",AND($C263="Factuur",$J263="Openstaand",$F263="")),NOT(AND($B263="",$C263="",$G263="",$H263="",$J263="",$K263=""))),"Er ontbreken gegevens",IF(AND(NOT(ISBLANK($B263)),$O263&lt;&gt;$K$1),IF(AND($O263&lt;$K$1,$J263="Openstaand"),"Op beginbalans","Datum buiten boekjaar"),""))</f>
        <v/>
      </c>
      <c r="M263" s="91"/>
      <c r="N263" s="38" t="str">
        <f t="shared" ref="N263:N326" si="13">IFERROR(IF($B263="","",MONTH($B$6:$B$500)),0)</f>
        <v/>
      </c>
      <c r="O263" s="38" t="str">
        <f t="shared" ref="O263:O326" si="14">IFERROR(IF($B263="","",YEAR($B$6:$B$500)),0)</f>
        <v/>
      </c>
      <c r="P263" s="219"/>
    </row>
    <row r="264" spans="2:16" x14ac:dyDescent="0.3">
      <c r="B264" s="74"/>
      <c r="C264" s="74"/>
      <c r="D264" s="123"/>
      <c r="E264" s="75"/>
      <c r="F264" s="123"/>
      <c r="G264" s="191"/>
      <c r="H264" s="124"/>
      <c r="I264" s="140"/>
      <c r="J264" s="76"/>
      <c r="K264" s="77"/>
      <c r="L264" s="114" t="str">
        <f t="shared" si="12"/>
        <v/>
      </c>
      <c r="M264" s="91"/>
      <c r="N264" s="38" t="str">
        <f t="shared" si="13"/>
        <v/>
      </c>
      <c r="O264" s="38" t="str">
        <f t="shared" si="14"/>
        <v/>
      </c>
      <c r="P264" s="219"/>
    </row>
    <row r="265" spans="2:16" x14ac:dyDescent="0.3">
      <c r="B265" s="74"/>
      <c r="C265" s="74"/>
      <c r="D265" s="123"/>
      <c r="E265" s="75"/>
      <c r="F265" s="123"/>
      <c r="G265" s="191"/>
      <c r="H265" s="124"/>
      <c r="I265" s="140"/>
      <c r="J265" s="76"/>
      <c r="K265" s="77"/>
      <c r="L265" s="114" t="str">
        <f t="shared" si="12"/>
        <v/>
      </c>
      <c r="M265" s="91"/>
      <c r="N265" s="38" t="str">
        <f t="shared" si="13"/>
        <v/>
      </c>
      <c r="O265" s="38" t="str">
        <f t="shared" si="14"/>
        <v/>
      </c>
      <c r="P265" s="219"/>
    </row>
    <row r="266" spans="2:16" x14ac:dyDescent="0.3">
      <c r="B266" s="74"/>
      <c r="C266" s="74"/>
      <c r="D266" s="123"/>
      <c r="E266" s="75"/>
      <c r="F266" s="123"/>
      <c r="G266" s="191"/>
      <c r="H266" s="124"/>
      <c r="I266" s="140"/>
      <c r="J266" s="76"/>
      <c r="K266" s="77"/>
      <c r="L266" s="114" t="str">
        <f t="shared" si="12"/>
        <v/>
      </c>
      <c r="M266" s="91"/>
      <c r="N266" s="38" t="str">
        <f t="shared" si="13"/>
        <v/>
      </c>
      <c r="O266" s="38" t="str">
        <f t="shared" si="14"/>
        <v/>
      </c>
      <c r="P266" s="219"/>
    </row>
    <row r="267" spans="2:16" x14ac:dyDescent="0.3">
      <c r="B267" s="74"/>
      <c r="C267" s="74"/>
      <c r="D267" s="123"/>
      <c r="E267" s="75"/>
      <c r="F267" s="123"/>
      <c r="G267" s="191"/>
      <c r="H267" s="124"/>
      <c r="I267" s="140"/>
      <c r="J267" s="76"/>
      <c r="K267" s="77"/>
      <c r="L267" s="114" t="str">
        <f t="shared" si="12"/>
        <v/>
      </c>
      <c r="M267" s="91"/>
      <c r="N267" s="38" t="str">
        <f t="shared" si="13"/>
        <v/>
      </c>
      <c r="O267" s="38" t="str">
        <f t="shared" si="14"/>
        <v/>
      </c>
      <c r="P267" s="219"/>
    </row>
    <row r="268" spans="2:16" x14ac:dyDescent="0.3">
      <c r="B268" s="74"/>
      <c r="C268" s="74"/>
      <c r="D268" s="123"/>
      <c r="E268" s="75"/>
      <c r="F268" s="123"/>
      <c r="G268" s="191"/>
      <c r="H268" s="124"/>
      <c r="I268" s="140"/>
      <c r="J268" s="76"/>
      <c r="K268" s="77"/>
      <c r="L268" s="114" t="str">
        <f t="shared" si="12"/>
        <v/>
      </c>
      <c r="M268" s="91"/>
      <c r="N268" s="38" t="str">
        <f t="shared" si="13"/>
        <v/>
      </c>
      <c r="O268" s="38" t="str">
        <f t="shared" si="14"/>
        <v/>
      </c>
      <c r="P268" s="219"/>
    </row>
    <row r="269" spans="2:16" x14ac:dyDescent="0.3">
      <c r="B269" s="74"/>
      <c r="C269" s="74"/>
      <c r="D269" s="123"/>
      <c r="E269" s="75"/>
      <c r="F269" s="123"/>
      <c r="G269" s="191"/>
      <c r="H269" s="124"/>
      <c r="I269" s="140"/>
      <c r="J269" s="76"/>
      <c r="K269" s="77"/>
      <c r="L269" s="114" t="str">
        <f t="shared" si="12"/>
        <v/>
      </c>
      <c r="M269" s="91"/>
      <c r="N269" s="38" t="str">
        <f t="shared" si="13"/>
        <v/>
      </c>
      <c r="O269" s="38" t="str">
        <f t="shared" si="14"/>
        <v/>
      </c>
      <c r="P269" s="219"/>
    </row>
    <row r="270" spans="2:16" x14ac:dyDescent="0.3">
      <c r="B270" s="74"/>
      <c r="C270" s="74"/>
      <c r="D270" s="123"/>
      <c r="E270" s="75"/>
      <c r="F270" s="123"/>
      <c r="G270" s="191"/>
      <c r="H270" s="124"/>
      <c r="I270" s="140"/>
      <c r="J270" s="76"/>
      <c r="K270" s="77"/>
      <c r="L270" s="114" t="str">
        <f t="shared" si="12"/>
        <v/>
      </c>
      <c r="M270" s="91"/>
      <c r="N270" s="38" t="str">
        <f t="shared" si="13"/>
        <v/>
      </c>
      <c r="O270" s="38" t="str">
        <f t="shared" si="14"/>
        <v/>
      </c>
      <c r="P270" s="219"/>
    </row>
    <row r="271" spans="2:16" x14ac:dyDescent="0.3">
      <c r="B271" s="74"/>
      <c r="C271" s="74"/>
      <c r="D271" s="123"/>
      <c r="E271" s="75"/>
      <c r="F271" s="123"/>
      <c r="G271" s="191"/>
      <c r="H271" s="124"/>
      <c r="I271" s="140"/>
      <c r="J271" s="76"/>
      <c r="K271" s="77"/>
      <c r="L271" s="114" t="str">
        <f t="shared" si="12"/>
        <v/>
      </c>
      <c r="M271" s="91"/>
      <c r="N271" s="38" t="str">
        <f t="shared" si="13"/>
        <v/>
      </c>
      <c r="O271" s="38" t="str">
        <f t="shared" si="14"/>
        <v/>
      </c>
      <c r="P271" s="219"/>
    </row>
    <row r="272" spans="2:16" x14ac:dyDescent="0.3">
      <c r="B272" s="74"/>
      <c r="C272" s="74"/>
      <c r="D272" s="123"/>
      <c r="E272" s="75"/>
      <c r="F272" s="123"/>
      <c r="G272" s="191"/>
      <c r="H272" s="124"/>
      <c r="I272" s="140"/>
      <c r="J272" s="76"/>
      <c r="K272" s="77"/>
      <c r="L272" s="114" t="str">
        <f t="shared" si="12"/>
        <v/>
      </c>
      <c r="M272" s="91"/>
      <c r="N272" s="38" t="str">
        <f t="shared" si="13"/>
        <v/>
      </c>
      <c r="O272" s="38" t="str">
        <f t="shared" si="14"/>
        <v/>
      </c>
      <c r="P272" s="219"/>
    </row>
    <row r="273" spans="2:16" x14ac:dyDescent="0.3">
      <c r="B273" s="74"/>
      <c r="C273" s="74"/>
      <c r="D273" s="123"/>
      <c r="E273" s="75"/>
      <c r="F273" s="123"/>
      <c r="G273" s="191"/>
      <c r="H273" s="124"/>
      <c r="I273" s="140"/>
      <c r="J273" s="76"/>
      <c r="K273" s="77"/>
      <c r="L273" s="114" t="str">
        <f t="shared" si="12"/>
        <v/>
      </c>
      <c r="M273" s="91"/>
      <c r="N273" s="38" t="str">
        <f t="shared" si="13"/>
        <v/>
      </c>
      <c r="O273" s="38" t="str">
        <f t="shared" si="14"/>
        <v/>
      </c>
      <c r="P273" s="219"/>
    </row>
    <row r="274" spans="2:16" x14ac:dyDescent="0.3">
      <c r="B274" s="74"/>
      <c r="C274" s="74"/>
      <c r="D274" s="123"/>
      <c r="E274" s="75"/>
      <c r="F274" s="123"/>
      <c r="G274" s="191"/>
      <c r="H274" s="124"/>
      <c r="I274" s="140"/>
      <c r="J274" s="76"/>
      <c r="K274" s="77"/>
      <c r="L274" s="114" t="str">
        <f t="shared" si="12"/>
        <v/>
      </c>
      <c r="M274" s="91"/>
      <c r="N274" s="38" t="str">
        <f t="shared" si="13"/>
        <v/>
      </c>
      <c r="O274" s="38" t="str">
        <f t="shared" si="14"/>
        <v/>
      </c>
      <c r="P274" s="219"/>
    </row>
    <row r="275" spans="2:16" x14ac:dyDescent="0.3">
      <c r="B275" s="74"/>
      <c r="C275" s="74"/>
      <c r="D275" s="123"/>
      <c r="E275" s="75"/>
      <c r="F275" s="123"/>
      <c r="G275" s="191"/>
      <c r="H275" s="124"/>
      <c r="I275" s="140"/>
      <c r="J275" s="76"/>
      <c r="K275" s="77"/>
      <c r="L275" s="114" t="str">
        <f t="shared" si="12"/>
        <v/>
      </c>
      <c r="M275" s="91"/>
      <c r="N275" s="38" t="str">
        <f t="shared" si="13"/>
        <v/>
      </c>
      <c r="O275" s="38" t="str">
        <f t="shared" si="14"/>
        <v/>
      </c>
      <c r="P275" s="219"/>
    </row>
    <row r="276" spans="2:16" x14ac:dyDescent="0.3">
      <c r="B276" s="74"/>
      <c r="C276" s="74"/>
      <c r="D276" s="123"/>
      <c r="E276" s="75"/>
      <c r="F276" s="123"/>
      <c r="G276" s="191"/>
      <c r="H276" s="124"/>
      <c r="I276" s="140"/>
      <c r="J276" s="76"/>
      <c r="K276" s="77"/>
      <c r="L276" s="114" t="str">
        <f t="shared" si="12"/>
        <v/>
      </c>
      <c r="M276" s="91"/>
      <c r="N276" s="38" t="str">
        <f t="shared" si="13"/>
        <v/>
      </c>
      <c r="O276" s="38" t="str">
        <f t="shared" si="14"/>
        <v/>
      </c>
      <c r="P276" s="219"/>
    </row>
    <row r="277" spans="2:16" x14ac:dyDescent="0.3">
      <c r="B277" s="74"/>
      <c r="C277" s="74"/>
      <c r="D277" s="123"/>
      <c r="E277" s="75"/>
      <c r="F277" s="123"/>
      <c r="G277" s="191"/>
      <c r="H277" s="124"/>
      <c r="I277" s="140"/>
      <c r="J277" s="76"/>
      <c r="K277" s="77"/>
      <c r="L277" s="114" t="str">
        <f t="shared" si="12"/>
        <v/>
      </c>
      <c r="M277" s="91"/>
      <c r="N277" s="38" t="str">
        <f t="shared" si="13"/>
        <v/>
      </c>
      <c r="O277" s="38" t="str">
        <f t="shared" si="14"/>
        <v/>
      </c>
      <c r="P277" s="219"/>
    </row>
    <row r="278" spans="2:16" x14ac:dyDescent="0.3">
      <c r="B278" s="74"/>
      <c r="C278" s="74"/>
      <c r="D278" s="123"/>
      <c r="E278" s="75"/>
      <c r="F278" s="123"/>
      <c r="G278" s="191"/>
      <c r="H278" s="124"/>
      <c r="I278" s="140"/>
      <c r="J278" s="76"/>
      <c r="K278" s="77"/>
      <c r="L278" s="114" t="str">
        <f t="shared" si="12"/>
        <v/>
      </c>
      <c r="M278" s="91"/>
      <c r="N278" s="38" t="str">
        <f t="shared" si="13"/>
        <v/>
      </c>
      <c r="O278" s="38" t="str">
        <f t="shared" si="14"/>
        <v/>
      </c>
      <c r="P278" s="219"/>
    </row>
    <row r="279" spans="2:16" x14ac:dyDescent="0.3">
      <c r="B279" s="74"/>
      <c r="C279" s="74"/>
      <c r="D279" s="123"/>
      <c r="E279" s="75"/>
      <c r="F279" s="123"/>
      <c r="G279" s="191"/>
      <c r="H279" s="124"/>
      <c r="I279" s="140"/>
      <c r="J279" s="76"/>
      <c r="K279" s="77"/>
      <c r="L279" s="114" t="str">
        <f t="shared" si="12"/>
        <v/>
      </c>
      <c r="M279" s="91"/>
      <c r="N279" s="38" t="str">
        <f t="shared" si="13"/>
        <v/>
      </c>
      <c r="O279" s="38" t="str">
        <f t="shared" si="14"/>
        <v/>
      </c>
      <c r="P279" s="219"/>
    </row>
    <row r="280" spans="2:16" x14ac:dyDescent="0.3">
      <c r="B280" s="74"/>
      <c r="C280" s="74"/>
      <c r="D280" s="123"/>
      <c r="E280" s="75"/>
      <c r="F280" s="123"/>
      <c r="G280" s="191"/>
      <c r="H280" s="124"/>
      <c r="I280" s="140"/>
      <c r="J280" s="76"/>
      <c r="K280" s="77"/>
      <c r="L280" s="114" t="str">
        <f t="shared" si="12"/>
        <v/>
      </c>
      <c r="M280" s="91"/>
      <c r="N280" s="38" t="str">
        <f t="shared" si="13"/>
        <v/>
      </c>
      <c r="O280" s="38" t="str">
        <f t="shared" si="14"/>
        <v/>
      </c>
      <c r="P280" s="219"/>
    </row>
    <row r="281" spans="2:16" x14ac:dyDescent="0.3">
      <c r="B281" s="74"/>
      <c r="C281" s="74"/>
      <c r="D281" s="123"/>
      <c r="E281" s="75"/>
      <c r="F281" s="123"/>
      <c r="G281" s="191"/>
      <c r="H281" s="124"/>
      <c r="I281" s="140"/>
      <c r="J281" s="76"/>
      <c r="K281" s="77"/>
      <c r="L281" s="114" t="str">
        <f t="shared" si="12"/>
        <v/>
      </c>
      <c r="M281" s="91"/>
      <c r="N281" s="38" t="str">
        <f t="shared" si="13"/>
        <v/>
      </c>
      <c r="O281" s="38" t="str">
        <f t="shared" si="14"/>
        <v/>
      </c>
      <c r="P281" s="219"/>
    </row>
    <row r="282" spans="2:16" x14ac:dyDescent="0.3">
      <c r="B282" s="74"/>
      <c r="C282" s="74"/>
      <c r="D282" s="123"/>
      <c r="E282" s="75"/>
      <c r="F282" s="123"/>
      <c r="G282" s="191"/>
      <c r="H282" s="124"/>
      <c r="I282" s="140"/>
      <c r="J282" s="76"/>
      <c r="K282" s="77"/>
      <c r="L282" s="114" t="str">
        <f t="shared" si="12"/>
        <v/>
      </c>
      <c r="M282" s="91"/>
      <c r="N282" s="38" t="str">
        <f t="shared" si="13"/>
        <v/>
      </c>
      <c r="O282" s="38" t="str">
        <f t="shared" si="14"/>
        <v/>
      </c>
      <c r="P282" s="219"/>
    </row>
    <row r="283" spans="2:16" x14ac:dyDescent="0.3">
      <c r="B283" s="74"/>
      <c r="C283" s="74"/>
      <c r="D283" s="123"/>
      <c r="E283" s="75"/>
      <c r="F283" s="123"/>
      <c r="G283" s="191"/>
      <c r="H283" s="124"/>
      <c r="I283" s="140"/>
      <c r="J283" s="76"/>
      <c r="K283" s="77"/>
      <c r="L283" s="114" t="str">
        <f t="shared" si="12"/>
        <v/>
      </c>
      <c r="M283" s="91"/>
      <c r="N283" s="38" t="str">
        <f t="shared" si="13"/>
        <v/>
      </c>
      <c r="O283" s="38" t="str">
        <f t="shared" si="14"/>
        <v/>
      </c>
      <c r="P283" s="219"/>
    </row>
    <row r="284" spans="2:16" x14ac:dyDescent="0.3">
      <c r="B284" s="74"/>
      <c r="C284" s="74"/>
      <c r="D284" s="123"/>
      <c r="E284" s="75"/>
      <c r="F284" s="123"/>
      <c r="G284" s="191"/>
      <c r="H284" s="124"/>
      <c r="I284" s="140"/>
      <c r="J284" s="76"/>
      <c r="K284" s="77"/>
      <c r="L284" s="114" t="str">
        <f t="shared" si="12"/>
        <v/>
      </c>
      <c r="M284" s="91"/>
      <c r="N284" s="38" t="str">
        <f t="shared" si="13"/>
        <v/>
      </c>
      <c r="O284" s="38" t="str">
        <f t="shared" si="14"/>
        <v/>
      </c>
      <c r="P284" s="219"/>
    </row>
    <row r="285" spans="2:16" x14ac:dyDescent="0.3">
      <c r="B285" s="74"/>
      <c r="C285" s="74"/>
      <c r="D285" s="123"/>
      <c r="E285" s="75"/>
      <c r="F285" s="123"/>
      <c r="G285" s="191"/>
      <c r="H285" s="124"/>
      <c r="I285" s="140"/>
      <c r="J285" s="76"/>
      <c r="K285" s="77"/>
      <c r="L285" s="114" t="str">
        <f t="shared" si="12"/>
        <v/>
      </c>
      <c r="M285" s="91"/>
      <c r="N285" s="38" t="str">
        <f t="shared" si="13"/>
        <v/>
      </c>
      <c r="O285" s="38" t="str">
        <f t="shared" si="14"/>
        <v/>
      </c>
      <c r="P285" s="219"/>
    </row>
    <row r="286" spans="2:16" x14ac:dyDescent="0.3">
      <c r="B286" s="74"/>
      <c r="C286" s="74"/>
      <c r="D286" s="123"/>
      <c r="E286" s="75"/>
      <c r="F286" s="123"/>
      <c r="G286" s="191"/>
      <c r="H286" s="124"/>
      <c r="I286" s="140"/>
      <c r="J286" s="76"/>
      <c r="K286" s="77"/>
      <c r="L286" s="114" t="str">
        <f t="shared" si="12"/>
        <v/>
      </c>
      <c r="M286" s="91"/>
      <c r="N286" s="38" t="str">
        <f t="shared" si="13"/>
        <v/>
      </c>
      <c r="O286" s="38" t="str">
        <f t="shared" si="14"/>
        <v/>
      </c>
      <c r="P286" s="219"/>
    </row>
    <row r="287" spans="2:16" x14ac:dyDescent="0.3">
      <c r="B287" s="74"/>
      <c r="C287" s="74"/>
      <c r="D287" s="123"/>
      <c r="E287" s="75"/>
      <c r="F287" s="123"/>
      <c r="G287" s="191"/>
      <c r="H287" s="124"/>
      <c r="I287" s="140"/>
      <c r="J287" s="76"/>
      <c r="K287" s="77"/>
      <c r="L287" s="114" t="str">
        <f t="shared" si="12"/>
        <v/>
      </c>
      <c r="M287" s="91"/>
      <c r="N287" s="38" t="str">
        <f t="shared" si="13"/>
        <v/>
      </c>
      <c r="O287" s="38" t="str">
        <f t="shared" si="14"/>
        <v/>
      </c>
      <c r="P287" s="219"/>
    </row>
    <row r="288" spans="2:16" x14ac:dyDescent="0.3">
      <c r="B288" s="74"/>
      <c r="C288" s="74"/>
      <c r="D288" s="123"/>
      <c r="E288" s="75"/>
      <c r="F288" s="123"/>
      <c r="G288" s="191"/>
      <c r="H288" s="124"/>
      <c r="I288" s="140"/>
      <c r="J288" s="76"/>
      <c r="K288" s="77"/>
      <c r="L288" s="114" t="str">
        <f t="shared" si="12"/>
        <v/>
      </c>
      <c r="M288" s="91"/>
      <c r="N288" s="38" t="str">
        <f t="shared" si="13"/>
        <v/>
      </c>
      <c r="O288" s="38" t="str">
        <f t="shared" si="14"/>
        <v/>
      </c>
      <c r="P288" s="219"/>
    </row>
    <row r="289" spans="2:16" x14ac:dyDescent="0.3">
      <c r="B289" s="74"/>
      <c r="C289" s="74"/>
      <c r="D289" s="123"/>
      <c r="E289" s="75"/>
      <c r="F289" s="123"/>
      <c r="G289" s="191"/>
      <c r="H289" s="124"/>
      <c r="I289" s="140"/>
      <c r="J289" s="76"/>
      <c r="K289" s="77"/>
      <c r="L289" s="114" t="str">
        <f t="shared" si="12"/>
        <v/>
      </c>
      <c r="M289" s="91"/>
      <c r="N289" s="38" t="str">
        <f t="shared" si="13"/>
        <v/>
      </c>
      <c r="O289" s="38" t="str">
        <f t="shared" si="14"/>
        <v/>
      </c>
      <c r="P289" s="219"/>
    </row>
    <row r="290" spans="2:16" x14ac:dyDescent="0.3">
      <c r="B290" s="74"/>
      <c r="C290" s="74"/>
      <c r="D290" s="123"/>
      <c r="E290" s="75"/>
      <c r="F290" s="123"/>
      <c r="G290" s="191"/>
      <c r="H290" s="124"/>
      <c r="I290" s="140"/>
      <c r="J290" s="76"/>
      <c r="K290" s="77"/>
      <c r="L290" s="114" t="str">
        <f t="shared" si="12"/>
        <v/>
      </c>
      <c r="M290" s="91"/>
      <c r="N290" s="38" t="str">
        <f t="shared" si="13"/>
        <v/>
      </c>
      <c r="O290" s="38" t="str">
        <f t="shared" si="14"/>
        <v/>
      </c>
      <c r="P290" s="219"/>
    </row>
    <row r="291" spans="2:16" x14ac:dyDescent="0.3">
      <c r="B291" s="74"/>
      <c r="C291" s="74"/>
      <c r="D291" s="123"/>
      <c r="E291" s="75"/>
      <c r="F291" s="123"/>
      <c r="G291" s="191"/>
      <c r="H291" s="124"/>
      <c r="I291" s="140"/>
      <c r="J291" s="76"/>
      <c r="K291" s="77"/>
      <c r="L291" s="114" t="str">
        <f t="shared" si="12"/>
        <v/>
      </c>
      <c r="M291" s="91"/>
      <c r="N291" s="38" t="str">
        <f t="shared" si="13"/>
        <v/>
      </c>
      <c r="O291" s="38" t="str">
        <f t="shared" si="14"/>
        <v/>
      </c>
      <c r="P291" s="219"/>
    </row>
    <row r="292" spans="2:16" x14ac:dyDescent="0.3">
      <c r="B292" s="74"/>
      <c r="C292" s="74"/>
      <c r="D292" s="123"/>
      <c r="E292" s="75"/>
      <c r="F292" s="123"/>
      <c r="G292" s="191"/>
      <c r="H292" s="124"/>
      <c r="I292" s="140"/>
      <c r="J292" s="76"/>
      <c r="K292" s="77"/>
      <c r="L292" s="114" t="str">
        <f t="shared" si="12"/>
        <v/>
      </c>
      <c r="M292" s="91"/>
      <c r="N292" s="38" t="str">
        <f t="shared" si="13"/>
        <v/>
      </c>
      <c r="O292" s="38" t="str">
        <f t="shared" si="14"/>
        <v/>
      </c>
      <c r="P292" s="219"/>
    </row>
    <row r="293" spans="2:16" x14ac:dyDescent="0.3">
      <c r="B293" s="74"/>
      <c r="C293" s="74"/>
      <c r="D293" s="123"/>
      <c r="E293" s="75"/>
      <c r="F293" s="123"/>
      <c r="G293" s="191"/>
      <c r="H293" s="124"/>
      <c r="I293" s="140"/>
      <c r="J293" s="76"/>
      <c r="K293" s="77"/>
      <c r="L293" s="114" t="str">
        <f t="shared" si="12"/>
        <v/>
      </c>
      <c r="M293" s="91"/>
      <c r="N293" s="38" t="str">
        <f t="shared" si="13"/>
        <v/>
      </c>
      <c r="O293" s="38" t="str">
        <f t="shared" si="14"/>
        <v/>
      </c>
      <c r="P293" s="219"/>
    </row>
    <row r="294" spans="2:16" x14ac:dyDescent="0.3">
      <c r="B294" s="74"/>
      <c r="C294" s="74"/>
      <c r="D294" s="123"/>
      <c r="E294" s="75"/>
      <c r="F294" s="123"/>
      <c r="G294" s="191"/>
      <c r="H294" s="124"/>
      <c r="I294" s="140"/>
      <c r="J294" s="76"/>
      <c r="K294" s="77"/>
      <c r="L294" s="114" t="str">
        <f t="shared" si="12"/>
        <v/>
      </c>
      <c r="M294" s="91"/>
      <c r="N294" s="38" t="str">
        <f t="shared" si="13"/>
        <v/>
      </c>
      <c r="O294" s="38" t="str">
        <f t="shared" si="14"/>
        <v/>
      </c>
      <c r="P294" s="219"/>
    </row>
    <row r="295" spans="2:16" x14ac:dyDescent="0.3">
      <c r="B295" s="74"/>
      <c r="C295" s="74"/>
      <c r="D295" s="123"/>
      <c r="E295" s="75"/>
      <c r="F295" s="123"/>
      <c r="G295" s="191"/>
      <c r="H295" s="124"/>
      <c r="I295" s="140"/>
      <c r="J295" s="76"/>
      <c r="K295" s="77"/>
      <c r="L295" s="114" t="str">
        <f t="shared" si="12"/>
        <v/>
      </c>
      <c r="M295" s="91"/>
      <c r="N295" s="38" t="str">
        <f t="shared" si="13"/>
        <v/>
      </c>
      <c r="O295" s="38" t="str">
        <f t="shared" si="14"/>
        <v/>
      </c>
      <c r="P295" s="219"/>
    </row>
    <row r="296" spans="2:16" x14ac:dyDescent="0.3">
      <c r="B296" s="74"/>
      <c r="C296" s="74"/>
      <c r="D296" s="123"/>
      <c r="E296" s="75"/>
      <c r="F296" s="123"/>
      <c r="G296" s="191"/>
      <c r="H296" s="124"/>
      <c r="I296" s="140"/>
      <c r="J296" s="76"/>
      <c r="K296" s="77"/>
      <c r="L296" s="114" t="str">
        <f t="shared" si="12"/>
        <v/>
      </c>
      <c r="M296" s="91"/>
      <c r="N296" s="38" t="str">
        <f t="shared" si="13"/>
        <v/>
      </c>
      <c r="O296" s="38" t="str">
        <f t="shared" si="14"/>
        <v/>
      </c>
      <c r="P296" s="219"/>
    </row>
    <row r="297" spans="2:16" x14ac:dyDescent="0.3">
      <c r="B297" s="74"/>
      <c r="C297" s="74"/>
      <c r="D297" s="123"/>
      <c r="E297" s="75"/>
      <c r="F297" s="123"/>
      <c r="G297" s="191"/>
      <c r="H297" s="124"/>
      <c r="I297" s="140"/>
      <c r="J297" s="76"/>
      <c r="K297" s="77"/>
      <c r="L297" s="114" t="str">
        <f t="shared" si="12"/>
        <v/>
      </c>
      <c r="M297" s="91"/>
      <c r="N297" s="38" t="str">
        <f t="shared" si="13"/>
        <v/>
      </c>
      <c r="O297" s="38" t="str">
        <f t="shared" si="14"/>
        <v/>
      </c>
      <c r="P297" s="219"/>
    </row>
    <row r="298" spans="2:16" x14ac:dyDescent="0.3">
      <c r="B298" s="74"/>
      <c r="C298" s="74"/>
      <c r="D298" s="123"/>
      <c r="E298" s="75"/>
      <c r="F298" s="123"/>
      <c r="G298" s="191"/>
      <c r="H298" s="124"/>
      <c r="I298" s="140"/>
      <c r="J298" s="76"/>
      <c r="K298" s="77"/>
      <c r="L298" s="114" t="str">
        <f t="shared" si="12"/>
        <v/>
      </c>
      <c r="M298" s="91"/>
      <c r="N298" s="38" t="str">
        <f t="shared" si="13"/>
        <v/>
      </c>
      <c r="O298" s="38" t="str">
        <f t="shared" si="14"/>
        <v/>
      </c>
      <c r="P298" s="219"/>
    </row>
    <row r="299" spans="2:16" x14ac:dyDescent="0.3">
      <c r="B299" s="74"/>
      <c r="C299" s="74"/>
      <c r="D299" s="123"/>
      <c r="E299" s="75"/>
      <c r="F299" s="123"/>
      <c r="G299" s="191"/>
      <c r="H299" s="124"/>
      <c r="I299" s="140"/>
      <c r="J299" s="76"/>
      <c r="K299" s="77"/>
      <c r="L299" s="114" t="str">
        <f t="shared" si="12"/>
        <v/>
      </c>
      <c r="M299" s="91"/>
      <c r="N299" s="38" t="str">
        <f t="shared" si="13"/>
        <v/>
      </c>
      <c r="O299" s="38" t="str">
        <f t="shared" si="14"/>
        <v/>
      </c>
      <c r="P299" s="219"/>
    </row>
    <row r="300" spans="2:16" x14ac:dyDescent="0.3">
      <c r="B300" s="74"/>
      <c r="C300" s="74"/>
      <c r="D300" s="123"/>
      <c r="E300" s="75"/>
      <c r="F300" s="123"/>
      <c r="G300" s="191"/>
      <c r="H300" s="124"/>
      <c r="I300" s="140"/>
      <c r="J300" s="76"/>
      <c r="K300" s="77"/>
      <c r="L300" s="114" t="str">
        <f t="shared" si="12"/>
        <v/>
      </c>
      <c r="M300" s="91"/>
      <c r="N300" s="38" t="str">
        <f t="shared" si="13"/>
        <v/>
      </c>
      <c r="O300" s="38" t="str">
        <f t="shared" si="14"/>
        <v/>
      </c>
      <c r="P300" s="219"/>
    </row>
    <row r="301" spans="2:16" x14ac:dyDescent="0.3">
      <c r="B301" s="74"/>
      <c r="C301" s="74"/>
      <c r="D301" s="123"/>
      <c r="E301" s="75"/>
      <c r="F301" s="123"/>
      <c r="G301" s="191"/>
      <c r="H301" s="124"/>
      <c r="I301" s="140"/>
      <c r="J301" s="76"/>
      <c r="K301" s="77"/>
      <c r="L301" s="114" t="str">
        <f t="shared" si="12"/>
        <v/>
      </c>
      <c r="M301" s="91"/>
      <c r="N301" s="38" t="str">
        <f t="shared" si="13"/>
        <v/>
      </c>
      <c r="O301" s="38" t="str">
        <f t="shared" si="14"/>
        <v/>
      </c>
      <c r="P301" s="219"/>
    </row>
    <row r="302" spans="2:16" x14ac:dyDescent="0.3">
      <c r="B302" s="74"/>
      <c r="C302" s="74"/>
      <c r="D302" s="123"/>
      <c r="E302" s="75"/>
      <c r="F302" s="123"/>
      <c r="G302" s="191"/>
      <c r="H302" s="124"/>
      <c r="I302" s="140"/>
      <c r="J302" s="76"/>
      <c r="K302" s="77"/>
      <c r="L302" s="114" t="str">
        <f t="shared" si="12"/>
        <v/>
      </c>
      <c r="M302" s="91"/>
      <c r="N302" s="38" t="str">
        <f t="shared" si="13"/>
        <v/>
      </c>
      <c r="O302" s="38" t="str">
        <f t="shared" si="14"/>
        <v/>
      </c>
      <c r="P302" s="219"/>
    </row>
    <row r="303" spans="2:16" x14ac:dyDescent="0.3">
      <c r="B303" s="74"/>
      <c r="C303" s="74"/>
      <c r="D303" s="123"/>
      <c r="E303" s="75"/>
      <c r="F303" s="123"/>
      <c r="G303" s="191"/>
      <c r="H303" s="124"/>
      <c r="I303" s="140"/>
      <c r="J303" s="76"/>
      <c r="K303" s="77"/>
      <c r="L303" s="114" t="str">
        <f t="shared" si="12"/>
        <v/>
      </c>
      <c r="M303" s="91"/>
      <c r="N303" s="38" t="str">
        <f t="shared" si="13"/>
        <v/>
      </c>
      <c r="O303" s="38" t="str">
        <f t="shared" si="14"/>
        <v/>
      </c>
      <c r="P303" s="219"/>
    </row>
    <row r="304" spans="2:16" x14ac:dyDescent="0.3">
      <c r="B304" s="74"/>
      <c r="C304" s="74"/>
      <c r="D304" s="123"/>
      <c r="E304" s="75"/>
      <c r="F304" s="123"/>
      <c r="G304" s="191"/>
      <c r="H304" s="124"/>
      <c r="I304" s="140"/>
      <c r="J304" s="76"/>
      <c r="K304" s="77"/>
      <c r="L304" s="114" t="str">
        <f t="shared" si="12"/>
        <v/>
      </c>
      <c r="M304" s="91"/>
      <c r="N304" s="38" t="str">
        <f t="shared" si="13"/>
        <v/>
      </c>
      <c r="O304" s="38" t="str">
        <f t="shared" si="14"/>
        <v/>
      </c>
      <c r="P304" s="219"/>
    </row>
    <row r="305" spans="2:16" x14ac:dyDescent="0.3">
      <c r="B305" s="74"/>
      <c r="C305" s="74"/>
      <c r="D305" s="123"/>
      <c r="E305" s="75"/>
      <c r="F305" s="123"/>
      <c r="G305" s="191"/>
      <c r="H305" s="124"/>
      <c r="I305" s="140"/>
      <c r="J305" s="76"/>
      <c r="K305" s="77"/>
      <c r="L305" s="114" t="str">
        <f t="shared" si="12"/>
        <v/>
      </c>
      <c r="M305" s="91"/>
      <c r="N305" s="38" t="str">
        <f t="shared" si="13"/>
        <v/>
      </c>
      <c r="O305" s="38" t="str">
        <f t="shared" si="14"/>
        <v/>
      </c>
      <c r="P305" s="219"/>
    </row>
    <row r="306" spans="2:16" x14ac:dyDescent="0.3">
      <c r="B306" s="74"/>
      <c r="C306" s="74"/>
      <c r="D306" s="123"/>
      <c r="E306" s="75"/>
      <c r="F306" s="123"/>
      <c r="G306" s="191"/>
      <c r="H306" s="124"/>
      <c r="I306" s="140"/>
      <c r="J306" s="76"/>
      <c r="K306" s="77"/>
      <c r="L306" s="114" t="str">
        <f t="shared" si="12"/>
        <v/>
      </c>
      <c r="M306" s="91"/>
      <c r="N306" s="38" t="str">
        <f t="shared" si="13"/>
        <v/>
      </c>
      <c r="O306" s="38" t="str">
        <f t="shared" si="14"/>
        <v/>
      </c>
      <c r="P306" s="219"/>
    </row>
    <row r="307" spans="2:16" x14ac:dyDescent="0.3">
      <c r="B307" s="74"/>
      <c r="C307" s="74"/>
      <c r="D307" s="123"/>
      <c r="E307" s="75"/>
      <c r="F307" s="123"/>
      <c r="G307" s="191"/>
      <c r="H307" s="124"/>
      <c r="I307" s="140"/>
      <c r="J307" s="76"/>
      <c r="K307" s="77"/>
      <c r="L307" s="114" t="str">
        <f t="shared" si="12"/>
        <v/>
      </c>
      <c r="M307" s="91"/>
      <c r="N307" s="38" t="str">
        <f t="shared" si="13"/>
        <v/>
      </c>
      <c r="O307" s="38" t="str">
        <f t="shared" si="14"/>
        <v/>
      </c>
      <c r="P307" s="219"/>
    </row>
    <row r="308" spans="2:16" x14ac:dyDescent="0.3">
      <c r="B308" s="74"/>
      <c r="C308" s="74"/>
      <c r="D308" s="123"/>
      <c r="E308" s="75"/>
      <c r="F308" s="123"/>
      <c r="G308" s="191"/>
      <c r="H308" s="124"/>
      <c r="I308" s="140"/>
      <c r="J308" s="76"/>
      <c r="K308" s="77"/>
      <c r="L308" s="114" t="str">
        <f t="shared" si="12"/>
        <v/>
      </c>
      <c r="M308" s="91"/>
      <c r="N308" s="38" t="str">
        <f t="shared" si="13"/>
        <v/>
      </c>
      <c r="O308" s="38" t="str">
        <f t="shared" si="14"/>
        <v/>
      </c>
      <c r="P308" s="219"/>
    </row>
    <row r="309" spans="2:16" x14ac:dyDescent="0.3">
      <c r="B309" s="74"/>
      <c r="C309" s="74"/>
      <c r="D309" s="123"/>
      <c r="E309" s="75"/>
      <c r="F309" s="123"/>
      <c r="G309" s="191"/>
      <c r="H309" s="124"/>
      <c r="I309" s="140"/>
      <c r="J309" s="76"/>
      <c r="K309" s="77"/>
      <c r="L309" s="114" t="str">
        <f t="shared" si="12"/>
        <v/>
      </c>
      <c r="M309" s="91"/>
      <c r="N309" s="38" t="str">
        <f t="shared" si="13"/>
        <v/>
      </c>
      <c r="O309" s="38" t="str">
        <f t="shared" si="14"/>
        <v/>
      </c>
      <c r="P309" s="219"/>
    </row>
    <row r="310" spans="2:16" x14ac:dyDescent="0.3">
      <c r="B310" s="74"/>
      <c r="C310" s="74"/>
      <c r="D310" s="123"/>
      <c r="E310" s="75"/>
      <c r="F310" s="123"/>
      <c r="G310" s="191"/>
      <c r="H310" s="124"/>
      <c r="I310" s="140"/>
      <c r="J310" s="76"/>
      <c r="K310" s="77"/>
      <c r="L310" s="114" t="str">
        <f t="shared" si="12"/>
        <v/>
      </c>
      <c r="M310" s="91"/>
      <c r="N310" s="38" t="str">
        <f t="shared" si="13"/>
        <v/>
      </c>
      <c r="O310" s="38" t="str">
        <f t="shared" si="14"/>
        <v/>
      </c>
      <c r="P310" s="219"/>
    </row>
    <row r="311" spans="2:16" x14ac:dyDescent="0.3">
      <c r="B311" s="74"/>
      <c r="C311" s="74"/>
      <c r="D311" s="123"/>
      <c r="E311" s="75"/>
      <c r="F311" s="123"/>
      <c r="G311" s="191"/>
      <c r="H311" s="124"/>
      <c r="I311" s="140"/>
      <c r="J311" s="76"/>
      <c r="K311" s="77"/>
      <c r="L311" s="114" t="str">
        <f t="shared" si="12"/>
        <v/>
      </c>
      <c r="M311" s="91"/>
      <c r="N311" s="38" t="str">
        <f t="shared" si="13"/>
        <v/>
      </c>
      <c r="O311" s="38" t="str">
        <f t="shared" si="14"/>
        <v/>
      </c>
      <c r="P311" s="219"/>
    </row>
    <row r="312" spans="2:16" x14ac:dyDescent="0.3">
      <c r="B312" s="74"/>
      <c r="C312" s="74"/>
      <c r="D312" s="123"/>
      <c r="E312" s="75"/>
      <c r="F312" s="123"/>
      <c r="G312" s="191"/>
      <c r="H312" s="124"/>
      <c r="I312" s="140"/>
      <c r="J312" s="76"/>
      <c r="K312" s="77"/>
      <c r="L312" s="114" t="str">
        <f t="shared" si="12"/>
        <v/>
      </c>
      <c r="M312" s="91"/>
      <c r="N312" s="38" t="str">
        <f t="shared" si="13"/>
        <v/>
      </c>
      <c r="O312" s="38" t="str">
        <f t="shared" si="14"/>
        <v/>
      </c>
      <c r="P312" s="219"/>
    </row>
    <row r="313" spans="2:16" x14ac:dyDescent="0.3">
      <c r="B313" s="74"/>
      <c r="C313" s="74"/>
      <c r="D313" s="123"/>
      <c r="E313" s="75"/>
      <c r="F313" s="123"/>
      <c r="G313" s="191"/>
      <c r="H313" s="124"/>
      <c r="I313" s="140"/>
      <c r="J313" s="76"/>
      <c r="K313" s="77"/>
      <c r="L313" s="114" t="str">
        <f t="shared" si="12"/>
        <v/>
      </c>
      <c r="M313" s="91"/>
      <c r="N313" s="38" t="str">
        <f t="shared" si="13"/>
        <v/>
      </c>
      <c r="O313" s="38" t="str">
        <f t="shared" si="14"/>
        <v/>
      </c>
      <c r="P313" s="219"/>
    </row>
    <row r="314" spans="2:16" x14ac:dyDescent="0.3">
      <c r="B314" s="74"/>
      <c r="C314" s="74"/>
      <c r="D314" s="123"/>
      <c r="E314" s="75"/>
      <c r="F314" s="123"/>
      <c r="G314" s="191"/>
      <c r="H314" s="124"/>
      <c r="I314" s="140"/>
      <c r="J314" s="76"/>
      <c r="K314" s="77"/>
      <c r="L314" s="114" t="str">
        <f t="shared" si="12"/>
        <v/>
      </c>
      <c r="M314" s="91"/>
      <c r="N314" s="38" t="str">
        <f t="shared" si="13"/>
        <v/>
      </c>
      <c r="O314" s="38" t="str">
        <f t="shared" si="14"/>
        <v/>
      </c>
      <c r="P314" s="219"/>
    </row>
    <row r="315" spans="2:16" x14ac:dyDescent="0.3">
      <c r="B315" s="74"/>
      <c r="C315" s="74"/>
      <c r="D315" s="123"/>
      <c r="E315" s="75"/>
      <c r="F315" s="123"/>
      <c r="G315" s="191"/>
      <c r="H315" s="124"/>
      <c r="I315" s="140"/>
      <c r="J315" s="76"/>
      <c r="K315" s="77"/>
      <c r="L315" s="114" t="str">
        <f t="shared" si="12"/>
        <v/>
      </c>
      <c r="M315" s="91"/>
      <c r="N315" s="38" t="str">
        <f t="shared" si="13"/>
        <v/>
      </c>
      <c r="O315" s="38" t="str">
        <f t="shared" si="14"/>
        <v/>
      </c>
      <c r="P315" s="219"/>
    </row>
    <row r="316" spans="2:16" x14ac:dyDescent="0.3">
      <c r="B316" s="74"/>
      <c r="C316" s="74"/>
      <c r="D316" s="123"/>
      <c r="E316" s="75"/>
      <c r="F316" s="123"/>
      <c r="G316" s="191"/>
      <c r="H316" s="124"/>
      <c r="I316" s="140"/>
      <c r="J316" s="76"/>
      <c r="K316" s="77"/>
      <c r="L316" s="114" t="str">
        <f t="shared" si="12"/>
        <v/>
      </c>
      <c r="M316" s="91"/>
      <c r="N316" s="38" t="str">
        <f t="shared" si="13"/>
        <v/>
      </c>
      <c r="O316" s="38" t="str">
        <f t="shared" si="14"/>
        <v/>
      </c>
      <c r="P316" s="219"/>
    </row>
    <row r="317" spans="2:16" x14ac:dyDescent="0.3">
      <c r="B317" s="74"/>
      <c r="C317" s="74"/>
      <c r="D317" s="123"/>
      <c r="E317" s="75"/>
      <c r="F317" s="123"/>
      <c r="G317" s="191"/>
      <c r="H317" s="124"/>
      <c r="I317" s="140"/>
      <c r="J317" s="76"/>
      <c r="K317" s="77"/>
      <c r="L317" s="114" t="str">
        <f t="shared" si="12"/>
        <v/>
      </c>
      <c r="M317" s="91"/>
      <c r="N317" s="38" t="str">
        <f t="shared" si="13"/>
        <v/>
      </c>
      <c r="O317" s="38" t="str">
        <f t="shared" si="14"/>
        <v/>
      </c>
      <c r="P317" s="219"/>
    </row>
    <row r="318" spans="2:16" x14ac:dyDescent="0.3">
      <c r="B318" s="74"/>
      <c r="C318" s="74"/>
      <c r="D318" s="123"/>
      <c r="E318" s="75"/>
      <c r="F318" s="123"/>
      <c r="G318" s="191"/>
      <c r="H318" s="124"/>
      <c r="I318" s="140"/>
      <c r="J318" s="76"/>
      <c r="K318" s="77"/>
      <c r="L318" s="114" t="str">
        <f t="shared" si="12"/>
        <v/>
      </c>
      <c r="M318" s="91"/>
      <c r="N318" s="38" t="str">
        <f t="shared" si="13"/>
        <v/>
      </c>
      <c r="O318" s="38" t="str">
        <f t="shared" si="14"/>
        <v/>
      </c>
      <c r="P318" s="219"/>
    </row>
    <row r="319" spans="2:16" x14ac:dyDescent="0.3">
      <c r="B319" s="74"/>
      <c r="C319" s="74"/>
      <c r="D319" s="123"/>
      <c r="E319" s="75"/>
      <c r="F319" s="123"/>
      <c r="G319" s="191"/>
      <c r="H319" s="124"/>
      <c r="I319" s="140"/>
      <c r="J319" s="76"/>
      <c r="K319" s="77"/>
      <c r="L319" s="114" t="str">
        <f t="shared" si="12"/>
        <v/>
      </c>
      <c r="M319" s="91"/>
      <c r="N319" s="38" t="str">
        <f t="shared" si="13"/>
        <v/>
      </c>
      <c r="O319" s="38" t="str">
        <f t="shared" si="14"/>
        <v/>
      </c>
      <c r="P319" s="219"/>
    </row>
    <row r="320" spans="2:16" x14ac:dyDescent="0.3">
      <c r="B320" s="74"/>
      <c r="C320" s="74"/>
      <c r="D320" s="123"/>
      <c r="E320" s="75"/>
      <c r="F320" s="123"/>
      <c r="G320" s="191"/>
      <c r="H320" s="124"/>
      <c r="I320" s="140"/>
      <c r="J320" s="76"/>
      <c r="K320" s="77"/>
      <c r="L320" s="114" t="str">
        <f t="shared" si="12"/>
        <v/>
      </c>
      <c r="M320" s="91"/>
      <c r="N320" s="38" t="str">
        <f t="shared" si="13"/>
        <v/>
      </c>
      <c r="O320" s="38" t="str">
        <f t="shared" si="14"/>
        <v/>
      </c>
      <c r="P320" s="219"/>
    </row>
    <row r="321" spans="2:16" x14ac:dyDescent="0.3">
      <c r="B321" s="74"/>
      <c r="C321" s="74"/>
      <c r="D321" s="123"/>
      <c r="E321" s="75"/>
      <c r="F321" s="123"/>
      <c r="G321" s="191"/>
      <c r="H321" s="124"/>
      <c r="I321" s="140"/>
      <c r="J321" s="76"/>
      <c r="K321" s="77"/>
      <c r="L321" s="114" t="str">
        <f t="shared" si="12"/>
        <v/>
      </c>
      <c r="M321" s="91"/>
      <c r="N321" s="38" t="str">
        <f t="shared" si="13"/>
        <v/>
      </c>
      <c r="O321" s="38" t="str">
        <f t="shared" si="14"/>
        <v/>
      </c>
      <c r="P321" s="219"/>
    </row>
    <row r="322" spans="2:16" x14ac:dyDescent="0.3">
      <c r="B322" s="74"/>
      <c r="C322" s="74"/>
      <c r="D322" s="123"/>
      <c r="E322" s="75"/>
      <c r="F322" s="123"/>
      <c r="G322" s="191"/>
      <c r="H322" s="124"/>
      <c r="I322" s="140"/>
      <c r="J322" s="76"/>
      <c r="K322" s="77"/>
      <c r="L322" s="114" t="str">
        <f t="shared" si="12"/>
        <v/>
      </c>
      <c r="M322" s="91"/>
      <c r="N322" s="38" t="str">
        <f t="shared" si="13"/>
        <v/>
      </c>
      <c r="O322" s="38" t="str">
        <f t="shared" si="14"/>
        <v/>
      </c>
      <c r="P322" s="219"/>
    </row>
    <row r="323" spans="2:16" x14ac:dyDescent="0.3">
      <c r="B323" s="74"/>
      <c r="C323" s="74"/>
      <c r="D323" s="123"/>
      <c r="E323" s="75"/>
      <c r="F323" s="123"/>
      <c r="G323" s="191"/>
      <c r="H323" s="124"/>
      <c r="I323" s="140"/>
      <c r="J323" s="76"/>
      <c r="K323" s="77"/>
      <c r="L323" s="114" t="str">
        <f t="shared" si="12"/>
        <v/>
      </c>
      <c r="M323" s="91"/>
      <c r="N323" s="38" t="str">
        <f t="shared" si="13"/>
        <v/>
      </c>
      <c r="O323" s="38" t="str">
        <f t="shared" si="14"/>
        <v/>
      </c>
      <c r="P323" s="219"/>
    </row>
    <row r="324" spans="2:16" x14ac:dyDescent="0.3">
      <c r="B324" s="74"/>
      <c r="C324" s="74"/>
      <c r="D324" s="123"/>
      <c r="E324" s="75"/>
      <c r="F324" s="123"/>
      <c r="G324" s="191"/>
      <c r="H324" s="124"/>
      <c r="I324" s="140"/>
      <c r="J324" s="76"/>
      <c r="K324" s="77"/>
      <c r="L324" s="114" t="str">
        <f t="shared" si="12"/>
        <v/>
      </c>
      <c r="M324" s="91"/>
      <c r="N324" s="38" t="str">
        <f t="shared" si="13"/>
        <v/>
      </c>
      <c r="O324" s="38" t="str">
        <f t="shared" si="14"/>
        <v/>
      </c>
      <c r="P324" s="219"/>
    </row>
    <row r="325" spans="2:16" x14ac:dyDescent="0.3">
      <c r="B325" s="74"/>
      <c r="C325" s="74"/>
      <c r="D325" s="123"/>
      <c r="E325" s="75"/>
      <c r="F325" s="123"/>
      <c r="G325" s="191"/>
      <c r="H325" s="124"/>
      <c r="I325" s="140"/>
      <c r="J325" s="76"/>
      <c r="K325" s="77"/>
      <c r="L325" s="114" t="str">
        <f t="shared" si="12"/>
        <v/>
      </c>
      <c r="M325" s="91"/>
      <c r="N325" s="38" t="str">
        <f t="shared" si="13"/>
        <v/>
      </c>
      <c r="O325" s="38" t="str">
        <f t="shared" si="14"/>
        <v/>
      </c>
      <c r="P325" s="219"/>
    </row>
    <row r="326" spans="2:16" x14ac:dyDescent="0.3">
      <c r="B326" s="74"/>
      <c r="C326" s="74"/>
      <c r="D326" s="123"/>
      <c r="E326" s="75"/>
      <c r="F326" s="123"/>
      <c r="G326" s="191"/>
      <c r="H326" s="124"/>
      <c r="I326" s="140"/>
      <c r="J326" s="76"/>
      <c r="K326" s="77"/>
      <c r="L326" s="114" t="str">
        <f t="shared" si="12"/>
        <v/>
      </c>
      <c r="M326" s="91"/>
      <c r="N326" s="38" t="str">
        <f t="shared" si="13"/>
        <v/>
      </c>
      <c r="O326" s="38" t="str">
        <f t="shared" si="14"/>
        <v/>
      </c>
      <c r="P326" s="219"/>
    </row>
    <row r="327" spans="2:16" x14ac:dyDescent="0.3">
      <c r="B327" s="74"/>
      <c r="C327" s="74"/>
      <c r="D327" s="123"/>
      <c r="E327" s="75"/>
      <c r="F327" s="123"/>
      <c r="G327" s="191"/>
      <c r="H327" s="124"/>
      <c r="I327" s="140"/>
      <c r="J327" s="76"/>
      <c r="K327" s="77"/>
      <c r="L327" s="114" t="str">
        <f t="shared" ref="L327:L390" si="15">IF(AND(OR($B327="",$C327="",$G327="",$H327="",$J327="",$K327="",AND($C327="Factuur",$J327="Openstaand",$F327="")),NOT(AND($B327="",$C327="",$G327="",$H327="",$J327="",$K327=""))),"Er ontbreken gegevens",IF(AND(NOT(ISBLANK($B327)),$O327&lt;&gt;$K$1),IF(AND($O327&lt;$K$1,$J327="Openstaand"),"Op beginbalans","Datum buiten boekjaar"),""))</f>
        <v/>
      </c>
      <c r="M327" s="91"/>
      <c r="N327" s="38" t="str">
        <f t="shared" ref="N327:N390" si="16">IFERROR(IF($B327="","",MONTH($B$6:$B$500)),0)</f>
        <v/>
      </c>
      <c r="O327" s="38" t="str">
        <f t="shared" ref="O327:O390" si="17">IFERROR(IF($B327="","",YEAR($B$6:$B$500)),0)</f>
        <v/>
      </c>
      <c r="P327" s="219"/>
    </row>
    <row r="328" spans="2:16" x14ac:dyDescent="0.3">
      <c r="B328" s="74"/>
      <c r="C328" s="74"/>
      <c r="D328" s="123"/>
      <c r="E328" s="75"/>
      <c r="F328" s="123"/>
      <c r="G328" s="191"/>
      <c r="H328" s="124"/>
      <c r="I328" s="140"/>
      <c r="J328" s="76"/>
      <c r="K328" s="77"/>
      <c r="L328" s="114" t="str">
        <f t="shared" si="15"/>
        <v/>
      </c>
      <c r="M328" s="91"/>
      <c r="N328" s="38" t="str">
        <f t="shared" si="16"/>
        <v/>
      </c>
      <c r="O328" s="38" t="str">
        <f t="shared" si="17"/>
        <v/>
      </c>
      <c r="P328" s="219"/>
    </row>
    <row r="329" spans="2:16" x14ac:dyDescent="0.3">
      <c r="B329" s="74"/>
      <c r="C329" s="74"/>
      <c r="D329" s="123"/>
      <c r="E329" s="75"/>
      <c r="F329" s="123"/>
      <c r="G329" s="191"/>
      <c r="H329" s="124"/>
      <c r="I329" s="140"/>
      <c r="J329" s="76"/>
      <c r="K329" s="77"/>
      <c r="L329" s="114" t="str">
        <f t="shared" si="15"/>
        <v/>
      </c>
      <c r="M329" s="91"/>
      <c r="N329" s="38" t="str">
        <f t="shared" si="16"/>
        <v/>
      </c>
      <c r="O329" s="38" t="str">
        <f t="shared" si="17"/>
        <v/>
      </c>
      <c r="P329" s="219"/>
    </row>
    <row r="330" spans="2:16" x14ac:dyDescent="0.3">
      <c r="B330" s="74"/>
      <c r="C330" s="74"/>
      <c r="D330" s="123"/>
      <c r="E330" s="75"/>
      <c r="F330" s="123"/>
      <c r="G330" s="191"/>
      <c r="H330" s="124"/>
      <c r="I330" s="140"/>
      <c r="J330" s="76"/>
      <c r="K330" s="77"/>
      <c r="L330" s="114" t="str">
        <f t="shared" si="15"/>
        <v/>
      </c>
      <c r="M330" s="91"/>
      <c r="N330" s="38" t="str">
        <f t="shared" si="16"/>
        <v/>
      </c>
      <c r="O330" s="38" t="str">
        <f t="shared" si="17"/>
        <v/>
      </c>
      <c r="P330" s="219"/>
    </row>
    <row r="331" spans="2:16" x14ac:dyDescent="0.3">
      <c r="B331" s="74"/>
      <c r="C331" s="74"/>
      <c r="D331" s="123"/>
      <c r="E331" s="75"/>
      <c r="F331" s="123"/>
      <c r="G331" s="191"/>
      <c r="H331" s="124"/>
      <c r="I331" s="140"/>
      <c r="J331" s="76"/>
      <c r="K331" s="77"/>
      <c r="L331" s="114" t="str">
        <f t="shared" si="15"/>
        <v/>
      </c>
      <c r="M331" s="91"/>
      <c r="N331" s="38" t="str">
        <f t="shared" si="16"/>
        <v/>
      </c>
      <c r="O331" s="38" t="str">
        <f t="shared" si="17"/>
        <v/>
      </c>
      <c r="P331" s="219"/>
    </row>
    <row r="332" spans="2:16" x14ac:dyDescent="0.3">
      <c r="B332" s="74"/>
      <c r="C332" s="74"/>
      <c r="D332" s="123"/>
      <c r="E332" s="75"/>
      <c r="F332" s="123"/>
      <c r="G332" s="191"/>
      <c r="H332" s="124"/>
      <c r="I332" s="140"/>
      <c r="J332" s="76"/>
      <c r="K332" s="77"/>
      <c r="L332" s="114" t="str">
        <f t="shared" si="15"/>
        <v/>
      </c>
      <c r="M332" s="91"/>
      <c r="N332" s="38" t="str">
        <f t="shared" si="16"/>
        <v/>
      </c>
      <c r="O332" s="38" t="str">
        <f t="shared" si="17"/>
        <v/>
      </c>
      <c r="P332" s="219"/>
    </row>
    <row r="333" spans="2:16" x14ac:dyDescent="0.3">
      <c r="B333" s="74"/>
      <c r="C333" s="74"/>
      <c r="D333" s="123"/>
      <c r="E333" s="75"/>
      <c r="F333" s="123"/>
      <c r="G333" s="191"/>
      <c r="H333" s="124"/>
      <c r="I333" s="140"/>
      <c r="J333" s="76"/>
      <c r="K333" s="77"/>
      <c r="L333" s="114" t="str">
        <f t="shared" si="15"/>
        <v/>
      </c>
      <c r="M333" s="91"/>
      <c r="N333" s="38" t="str">
        <f t="shared" si="16"/>
        <v/>
      </c>
      <c r="O333" s="38" t="str">
        <f t="shared" si="17"/>
        <v/>
      </c>
      <c r="P333" s="219"/>
    </row>
    <row r="334" spans="2:16" x14ac:dyDescent="0.3">
      <c r="B334" s="74"/>
      <c r="C334" s="74"/>
      <c r="D334" s="123"/>
      <c r="E334" s="75"/>
      <c r="F334" s="123"/>
      <c r="G334" s="191"/>
      <c r="H334" s="124"/>
      <c r="I334" s="140"/>
      <c r="J334" s="76"/>
      <c r="K334" s="77"/>
      <c r="L334" s="114" t="str">
        <f t="shared" si="15"/>
        <v/>
      </c>
      <c r="M334" s="91"/>
      <c r="N334" s="38" t="str">
        <f t="shared" si="16"/>
        <v/>
      </c>
      <c r="O334" s="38" t="str">
        <f t="shared" si="17"/>
        <v/>
      </c>
      <c r="P334" s="219"/>
    </row>
    <row r="335" spans="2:16" x14ac:dyDescent="0.3">
      <c r="B335" s="74"/>
      <c r="C335" s="74"/>
      <c r="D335" s="123"/>
      <c r="E335" s="75"/>
      <c r="F335" s="123"/>
      <c r="G335" s="191"/>
      <c r="H335" s="124"/>
      <c r="I335" s="140"/>
      <c r="J335" s="76"/>
      <c r="K335" s="77"/>
      <c r="L335" s="114" t="str">
        <f t="shared" si="15"/>
        <v/>
      </c>
      <c r="M335" s="91"/>
      <c r="N335" s="38" t="str">
        <f t="shared" si="16"/>
        <v/>
      </c>
      <c r="O335" s="38" t="str">
        <f t="shared" si="17"/>
        <v/>
      </c>
      <c r="P335" s="219"/>
    </row>
    <row r="336" spans="2:16" x14ac:dyDescent="0.3">
      <c r="B336" s="74"/>
      <c r="C336" s="74"/>
      <c r="D336" s="123"/>
      <c r="E336" s="75"/>
      <c r="F336" s="123"/>
      <c r="G336" s="191"/>
      <c r="H336" s="124"/>
      <c r="I336" s="140"/>
      <c r="J336" s="76"/>
      <c r="K336" s="77"/>
      <c r="L336" s="114" t="str">
        <f t="shared" si="15"/>
        <v/>
      </c>
      <c r="M336" s="91"/>
      <c r="N336" s="38" t="str">
        <f t="shared" si="16"/>
        <v/>
      </c>
      <c r="O336" s="38" t="str">
        <f t="shared" si="17"/>
        <v/>
      </c>
      <c r="P336" s="219"/>
    </row>
    <row r="337" spans="2:16" x14ac:dyDescent="0.3">
      <c r="B337" s="74"/>
      <c r="C337" s="74"/>
      <c r="D337" s="123"/>
      <c r="E337" s="75"/>
      <c r="F337" s="123"/>
      <c r="G337" s="191"/>
      <c r="H337" s="124"/>
      <c r="I337" s="140"/>
      <c r="J337" s="76"/>
      <c r="K337" s="77"/>
      <c r="L337" s="114" t="str">
        <f t="shared" si="15"/>
        <v/>
      </c>
      <c r="M337" s="91"/>
      <c r="N337" s="38" t="str">
        <f t="shared" si="16"/>
        <v/>
      </c>
      <c r="O337" s="38" t="str">
        <f t="shared" si="17"/>
        <v/>
      </c>
      <c r="P337" s="219"/>
    </row>
    <row r="338" spans="2:16" x14ac:dyDescent="0.3">
      <c r="B338" s="74"/>
      <c r="C338" s="74"/>
      <c r="D338" s="123"/>
      <c r="E338" s="75"/>
      <c r="F338" s="123"/>
      <c r="G338" s="191"/>
      <c r="H338" s="124"/>
      <c r="I338" s="140"/>
      <c r="J338" s="76"/>
      <c r="K338" s="77"/>
      <c r="L338" s="114" t="str">
        <f t="shared" si="15"/>
        <v/>
      </c>
      <c r="M338" s="91"/>
      <c r="N338" s="38" t="str">
        <f t="shared" si="16"/>
        <v/>
      </c>
      <c r="O338" s="38" t="str">
        <f t="shared" si="17"/>
        <v/>
      </c>
      <c r="P338" s="219"/>
    </row>
    <row r="339" spans="2:16" x14ac:dyDescent="0.3">
      <c r="B339" s="74"/>
      <c r="C339" s="74"/>
      <c r="D339" s="123"/>
      <c r="E339" s="75"/>
      <c r="F339" s="123"/>
      <c r="G339" s="191"/>
      <c r="H339" s="124"/>
      <c r="I339" s="140"/>
      <c r="J339" s="76"/>
      <c r="K339" s="77"/>
      <c r="L339" s="114" t="str">
        <f t="shared" si="15"/>
        <v/>
      </c>
      <c r="M339" s="91"/>
      <c r="N339" s="38" t="str">
        <f t="shared" si="16"/>
        <v/>
      </c>
      <c r="O339" s="38" t="str">
        <f t="shared" si="17"/>
        <v/>
      </c>
      <c r="P339" s="219"/>
    </row>
    <row r="340" spans="2:16" x14ac:dyDescent="0.3">
      <c r="B340" s="74"/>
      <c r="C340" s="74"/>
      <c r="D340" s="123"/>
      <c r="E340" s="75"/>
      <c r="F340" s="123"/>
      <c r="G340" s="191"/>
      <c r="H340" s="124"/>
      <c r="I340" s="140"/>
      <c r="J340" s="76"/>
      <c r="K340" s="77"/>
      <c r="L340" s="114" t="str">
        <f t="shared" si="15"/>
        <v/>
      </c>
      <c r="M340" s="91"/>
      <c r="N340" s="38" t="str">
        <f t="shared" si="16"/>
        <v/>
      </c>
      <c r="O340" s="38" t="str">
        <f t="shared" si="17"/>
        <v/>
      </c>
      <c r="P340" s="219"/>
    </row>
    <row r="341" spans="2:16" x14ac:dyDescent="0.3">
      <c r="B341" s="74"/>
      <c r="C341" s="74"/>
      <c r="D341" s="123"/>
      <c r="E341" s="75"/>
      <c r="F341" s="123"/>
      <c r="G341" s="191"/>
      <c r="H341" s="124"/>
      <c r="I341" s="140"/>
      <c r="J341" s="76"/>
      <c r="K341" s="77"/>
      <c r="L341" s="114" t="str">
        <f t="shared" si="15"/>
        <v/>
      </c>
      <c r="M341" s="91"/>
      <c r="N341" s="38" t="str">
        <f t="shared" si="16"/>
        <v/>
      </c>
      <c r="O341" s="38" t="str">
        <f t="shared" si="17"/>
        <v/>
      </c>
      <c r="P341" s="219"/>
    </row>
    <row r="342" spans="2:16" x14ac:dyDescent="0.3">
      <c r="B342" s="74"/>
      <c r="C342" s="74"/>
      <c r="D342" s="123"/>
      <c r="E342" s="75"/>
      <c r="F342" s="123"/>
      <c r="G342" s="191"/>
      <c r="H342" s="124"/>
      <c r="I342" s="140"/>
      <c r="J342" s="76"/>
      <c r="K342" s="77"/>
      <c r="L342" s="114" t="str">
        <f t="shared" si="15"/>
        <v/>
      </c>
      <c r="M342" s="91"/>
      <c r="N342" s="38" t="str">
        <f t="shared" si="16"/>
        <v/>
      </c>
      <c r="O342" s="38" t="str">
        <f t="shared" si="17"/>
        <v/>
      </c>
      <c r="P342" s="219"/>
    </row>
    <row r="343" spans="2:16" x14ac:dyDescent="0.3">
      <c r="B343" s="74"/>
      <c r="C343" s="74"/>
      <c r="D343" s="123"/>
      <c r="E343" s="75"/>
      <c r="F343" s="123"/>
      <c r="G343" s="191"/>
      <c r="H343" s="124"/>
      <c r="I343" s="140"/>
      <c r="J343" s="76"/>
      <c r="K343" s="77"/>
      <c r="L343" s="114" t="str">
        <f t="shared" si="15"/>
        <v/>
      </c>
      <c r="M343" s="91"/>
      <c r="N343" s="38" t="str">
        <f t="shared" si="16"/>
        <v/>
      </c>
      <c r="O343" s="38" t="str">
        <f t="shared" si="17"/>
        <v/>
      </c>
      <c r="P343" s="219"/>
    </row>
    <row r="344" spans="2:16" x14ac:dyDescent="0.3">
      <c r="B344" s="74"/>
      <c r="C344" s="74"/>
      <c r="D344" s="123"/>
      <c r="E344" s="75"/>
      <c r="F344" s="123"/>
      <c r="G344" s="191"/>
      <c r="H344" s="124"/>
      <c r="I344" s="140"/>
      <c r="J344" s="76"/>
      <c r="K344" s="77"/>
      <c r="L344" s="114" t="str">
        <f t="shared" si="15"/>
        <v/>
      </c>
      <c r="M344" s="91"/>
      <c r="N344" s="38" t="str">
        <f t="shared" si="16"/>
        <v/>
      </c>
      <c r="O344" s="38" t="str">
        <f t="shared" si="17"/>
        <v/>
      </c>
      <c r="P344" s="219"/>
    </row>
    <row r="345" spans="2:16" x14ac:dyDescent="0.3">
      <c r="B345" s="74"/>
      <c r="C345" s="74"/>
      <c r="D345" s="123"/>
      <c r="E345" s="75"/>
      <c r="F345" s="123"/>
      <c r="G345" s="191"/>
      <c r="H345" s="124"/>
      <c r="I345" s="140"/>
      <c r="J345" s="76"/>
      <c r="K345" s="77"/>
      <c r="L345" s="114" t="str">
        <f t="shared" si="15"/>
        <v/>
      </c>
      <c r="M345" s="91"/>
      <c r="N345" s="38" t="str">
        <f t="shared" si="16"/>
        <v/>
      </c>
      <c r="O345" s="38" t="str">
        <f t="shared" si="17"/>
        <v/>
      </c>
      <c r="P345" s="219"/>
    </row>
    <row r="346" spans="2:16" x14ac:dyDescent="0.3">
      <c r="B346" s="74"/>
      <c r="C346" s="74"/>
      <c r="D346" s="123"/>
      <c r="E346" s="75"/>
      <c r="F346" s="123"/>
      <c r="G346" s="191"/>
      <c r="H346" s="124"/>
      <c r="I346" s="140"/>
      <c r="J346" s="76"/>
      <c r="K346" s="77"/>
      <c r="L346" s="114" t="str">
        <f t="shared" si="15"/>
        <v/>
      </c>
      <c r="M346" s="91"/>
      <c r="N346" s="38" t="str">
        <f t="shared" si="16"/>
        <v/>
      </c>
      <c r="O346" s="38" t="str">
        <f t="shared" si="17"/>
        <v/>
      </c>
      <c r="P346" s="219"/>
    </row>
    <row r="347" spans="2:16" x14ac:dyDescent="0.3">
      <c r="B347" s="74"/>
      <c r="C347" s="74"/>
      <c r="D347" s="123"/>
      <c r="E347" s="75"/>
      <c r="F347" s="123"/>
      <c r="G347" s="191"/>
      <c r="H347" s="124"/>
      <c r="I347" s="140"/>
      <c r="J347" s="76"/>
      <c r="K347" s="77"/>
      <c r="L347" s="114" t="str">
        <f t="shared" si="15"/>
        <v/>
      </c>
      <c r="M347" s="91"/>
      <c r="N347" s="38" t="str">
        <f t="shared" si="16"/>
        <v/>
      </c>
      <c r="O347" s="38" t="str">
        <f t="shared" si="17"/>
        <v/>
      </c>
      <c r="P347" s="219"/>
    </row>
    <row r="348" spans="2:16" x14ac:dyDescent="0.3">
      <c r="B348" s="74"/>
      <c r="C348" s="74"/>
      <c r="D348" s="123"/>
      <c r="E348" s="75"/>
      <c r="F348" s="123"/>
      <c r="G348" s="191"/>
      <c r="H348" s="124"/>
      <c r="I348" s="140"/>
      <c r="J348" s="76"/>
      <c r="K348" s="77"/>
      <c r="L348" s="114" t="str">
        <f t="shared" si="15"/>
        <v/>
      </c>
      <c r="M348" s="91"/>
      <c r="N348" s="38" t="str">
        <f t="shared" si="16"/>
        <v/>
      </c>
      <c r="O348" s="38" t="str">
        <f t="shared" si="17"/>
        <v/>
      </c>
      <c r="P348" s="219"/>
    </row>
    <row r="349" spans="2:16" x14ac:dyDescent="0.3">
      <c r="B349" s="74"/>
      <c r="C349" s="74"/>
      <c r="D349" s="123"/>
      <c r="E349" s="75"/>
      <c r="F349" s="123"/>
      <c r="G349" s="191"/>
      <c r="H349" s="124"/>
      <c r="I349" s="140"/>
      <c r="J349" s="76"/>
      <c r="K349" s="77"/>
      <c r="L349" s="114" t="str">
        <f t="shared" si="15"/>
        <v/>
      </c>
      <c r="M349" s="91"/>
      <c r="N349" s="38" t="str">
        <f t="shared" si="16"/>
        <v/>
      </c>
      <c r="O349" s="38" t="str">
        <f t="shared" si="17"/>
        <v/>
      </c>
      <c r="P349" s="219"/>
    </row>
    <row r="350" spans="2:16" x14ac:dyDescent="0.3">
      <c r="B350" s="74"/>
      <c r="C350" s="74"/>
      <c r="D350" s="123"/>
      <c r="E350" s="75"/>
      <c r="F350" s="123"/>
      <c r="G350" s="191"/>
      <c r="H350" s="124"/>
      <c r="I350" s="140"/>
      <c r="J350" s="76"/>
      <c r="K350" s="77"/>
      <c r="L350" s="114" t="str">
        <f t="shared" si="15"/>
        <v/>
      </c>
      <c r="M350" s="91"/>
      <c r="N350" s="38" t="str">
        <f t="shared" si="16"/>
        <v/>
      </c>
      <c r="O350" s="38" t="str">
        <f t="shared" si="17"/>
        <v/>
      </c>
      <c r="P350" s="219"/>
    </row>
    <row r="351" spans="2:16" x14ac:dyDescent="0.3">
      <c r="B351" s="74"/>
      <c r="C351" s="74"/>
      <c r="D351" s="123"/>
      <c r="E351" s="75"/>
      <c r="F351" s="123"/>
      <c r="G351" s="191"/>
      <c r="H351" s="124"/>
      <c r="I351" s="140"/>
      <c r="J351" s="76"/>
      <c r="K351" s="77"/>
      <c r="L351" s="114" t="str">
        <f t="shared" si="15"/>
        <v/>
      </c>
      <c r="M351" s="91"/>
      <c r="N351" s="38" t="str">
        <f t="shared" si="16"/>
        <v/>
      </c>
      <c r="O351" s="38" t="str">
        <f t="shared" si="17"/>
        <v/>
      </c>
      <c r="P351" s="219"/>
    </row>
    <row r="352" spans="2:16" x14ac:dyDescent="0.3">
      <c r="B352" s="74"/>
      <c r="C352" s="74"/>
      <c r="D352" s="123"/>
      <c r="E352" s="75"/>
      <c r="F352" s="123"/>
      <c r="G352" s="191"/>
      <c r="H352" s="124"/>
      <c r="I352" s="140"/>
      <c r="J352" s="76"/>
      <c r="K352" s="77"/>
      <c r="L352" s="114" t="str">
        <f t="shared" si="15"/>
        <v/>
      </c>
      <c r="M352" s="91"/>
      <c r="N352" s="38" t="str">
        <f t="shared" si="16"/>
        <v/>
      </c>
      <c r="O352" s="38" t="str">
        <f t="shared" si="17"/>
        <v/>
      </c>
      <c r="P352" s="219"/>
    </row>
    <row r="353" spans="2:16" x14ac:dyDescent="0.3">
      <c r="B353" s="74"/>
      <c r="C353" s="74"/>
      <c r="D353" s="123"/>
      <c r="E353" s="75"/>
      <c r="F353" s="123"/>
      <c r="G353" s="191"/>
      <c r="H353" s="124"/>
      <c r="I353" s="140"/>
      <c r="J353" s="76"/>
      <c r="K353" s="77"/>
      <c r="L353" s="114" t="str">
        <f t="shared" si="15"/>
        <v/>
      </c>
      <c r="M353" s="91"/>
      <c r="N353" s="38" t="str">
        <f t="shared" si="16"/>
        <v/>
      </c>
      <c r="O353" s="38" t="str">
        <f t="shared" si="17"/>
        <v/>
      </c>
      <c r="P353" s="219"/>
    </row>
    <row r="354" spans="2:16" x14ac:dyDescent="0.3">
      <c r="B354" s="74"/>
      <c r="C354" s="74"/>
      <c r="D354" s="123"/>
      <c r="E354" s="75"/>
      <c r="F354" s="123"/>
      <c r="G354" s="191"/>
      <c r="H354" s="124"/>
      <c r="I354" s="140"/>
      <c r="J354" s="76"/>
      <c r="K354" s="77"/>
      <c r="L354" s="114" t="str">
        <f t="shared" si="15"/>
        <v/>
      </c>
      <c r="M354" s="91"/>
      <c r="N354" s="38" t="str">
        <f t="shared" si="16"/>
        <v/>
      </c>
      <c r="O354" s="38" t="str">
        <f t="shared" si="17"/>
        <v/>
      </c>
      <c r="P354" s="219"/>
    </row>
    <row r="355" spans="2:16" x14ac:dyDescent="0.3">
      <c r="B355" s="74"/>
      <c r="C355" s="74"/>
      <c r="D355" s="123"/>
      <c r="E355" s="75"/>
      <c r="F355" s="123"/>
      <c r="G355" s="191"/>
      <c r="H355" s="124"/>
      <c r="I355" s="140"/>
      <c r="J355" s="76"/>
      <c r="K355" s="77"/>
      <c r="L355" s="114" t="str">
        <f t="shared" si="15"/>
        <v/>
      </c>
      <c r="M355" s="91"/>
      <c r="N355" s="38" t="str">
        <f t="shared" si="16"/>
        <v/>
      </c>
      <c r="O355" s="38" t="str">
        <f t="shared" si="17"/>
        <v/>
      </c>
      <c r="P355" s="219"/>
    </row>
    <row r="356" spans="2:16" x14ac:dyDescent="0.3">
      <c r="B356" s="74"/>
      <c r="C356" s="74"/>
      <c r="D356" s="123"/>
      <c r="E356" s="75"/>
      <c r="F356" s="123"/>
      <c r="G356" s="191"/>
      <c r="H356" s="124"/>
      <c r="I356" s="140"/>
      <c r="J356" s="76"/>
      <c r="K356" s="77"/>
      <c r="L356" s="114" t="str">
        <f t="shared" si="15"/>
        <v/>
      </c>
      <c r="M356" s="91"/>
      <c r="N356" s="38" t="str">
        <f t="shared" si="16"/>
        <v/>
      </c>
      <c r="O356" s="38" t="str">
        <f t="shared" si="17"/>
        <v/>
      </c>
      <c r="P356" s="219"/>
    </row>
    <row r="357" spans="2:16" x14ac:dyDescent="0.3">
      <c r="B357" s="74"/>
      <c r="C357" s="74"/>
      <c r="D357" s="123"/>
      <c r="E357" s="75"/>
      <c r="F357" s="123"/>
      <c r="G357" s="191"/>
      <c r="H357" s="124"/>
      <c r="I357" s="140"/>
      <c r="J357" s="76"/>
      <c r="K357" s="77"/>
      <c r="L357" s="114" t="str">
        <f t="shared" si="15"/>
        <v/>
      </c>
      <c r="M357" s="91"/>
      <c r="N357" s="38" t="str">
        <f t="shared" si="16"/>
        <v/>
      </c>
      <c r="O357" s="38" t="str">
        <f t="shared" si="17"/>
        <v/>
      </c>
      <c r="P357" s="219"/>
    </row>
    <row r="358" spans="2:16" x14ac:dyDescent="0.3">
      <c r="B358" s="74"/>
      <c r="C358" s="74"/>
      <c r="D358" s="123"/>
      <c r="E358" s="75"/>
      <c r="F358" s="123"/>
      <c r="G358" s="191"/>
      <c r="H358" s="124"/>
      <c r="I358" s="140"/>
      <c r="J358" s="76"/>
      <c r="K358" s="77"/>
      <c r="L358" s="114" t="str">
        <f t="shared" si="15"/>
        <v/>
      </c>
      <c r="M358" s="91"/>
      <c r="N358" s="38" t="str">
        <f t="shared" si="16"/>
        <v/>
      </c>
      <c r="O358" s="38" t="str">
        <f t="shared" si="17"/>
        <v/>
      </c>
      <c r="P358" s="219"/>
    </row>
    <row r="359" spans="2:16" x14ac:dyDescent="0.3">
      <c r="B359" s="74"/>
      <c r="C359" s="74"/>
      <c r="D359" s="123"/>
      <c r="E359" s="75"/>
      <c r="F359" s="123"/>
      <c r="G359" s="191"/>
      <c r="H359" s="124"/>
      <c r="I359" s="140"/>
      <c r="J359" s="76"/>
      <c r="K359" s="77"/>
      <c r="L359" s="114" t="str">
        <f t="shared" si="15"/>
        <v/>
      </c>
      <c r="M359" s="91"/>
      <c r="N359" s="38" t="str">
        <f t="shared" si="16"/>
        <v/>
      </c>
      <c r="O359" s="38" t="str">
        <f t="shared" si="17"/>
        <v/>
      </c>
      <c r="P359" s="219"/>
    </row>
    <row r="360" spans="2:16" x14ac:dyDescent="0.3">
      <c r="B360" s="74"/>
      <c r="C360" s="74"/>
      <c r="D360" s="123"/>
      <c r="E360" s="75"/>
      <c r="F360" s="123"/>
      <c r="G360" s="191"/>
      <c r="H360" s="124"/>
      <c r="I360" s="140"/>
      <c r="J360" s="76"/>
      <c r="K360" s="77"/>
      <c r="L360" s="114" t="str">
        <f t="shared" si="15"/>
        <v/>
      </c>
      <c r="M360" s="91"/>
      <c r="N360" s="38" t="str">
        <f t="shared" si="16"/>
        <v/>
      </c>
      <c r="O360" s="38" t="str">
        <f t="shared" si="17"/>
        <v/>
      </c>
      <c r="P360" s="219"/>
    </row>
    <row r="361" spans="2:16" x14ac:dyDescent="0.3">
      <c r="B361" s="74"/>
      <c r="C361" s="74"/>
      <c r="D361" s="123"/>
      <c r="E361" s="75"/>
      <c r="F361" s="123"/>
      <c r="G361" s="191"/>
      <c r="H361" s="124"/>
      <c r="I361" s="140"/>
      <c r="J361" s="76"/>
      <c r="K361" s="77"/>
      <c r="L361" s="114" t="str">
        <f t="shared" si="15"/>
        <v/>
      </c>
      <c r="M361" s="91"/>
      <c r="N361" s="38" t="str">
        <f t="shared" si="16"/>
        <v/>
      </c>
      <c r="O361" s="38" t="str">
        <f t="shared" si="17"/>
        <v/>
      </c>
      <c r="P361" s="219"/>
    </row>
    <row r="362" spans="2:16" x14ac:dyDescent="0.3">
      <c r="B362" s="74"/>
      <c r="C362" s="74"/>
      <c r="D362" s="123"/>
      <c r="E362" s="75"/>
      <c r="F362" s="123"/>
      <c r="G362" s="191"/>
      <c r="H362" s="124"/>
      <c r="I362" s="140"/>
      <c r="J362" s="76"/>
      <c r="K362" s="77"/>
      <c r="L362" s="114" t="str">
        <f t="shared" si="15"/>
        <v/>
      </c>
      <c r="M362" s="91"/>
      <c r="N362" s="38" t="str">
        <f t="shared" si="16"/>
        <v/>
      </c>
      <c r="O362" s="38" t="str">
        <f t="shared" si="17"/>
        <v/>
      </c>
      <c r="P362" s="219"/>
    </row>
    <row r="363" spans="2:16" x14ac:dyDescent="0.3">
      <c r="B363" s="74"/>
      <c r="C363" s="74"/>
      <c r="D363" s="123"/>
      <c r="E363" s="75"/>
      <c r="F363" s="123"/>
      <c r="G363" s="191"/>
      <c r="H363" s="124"/>
      <c r="I363" s="140"/>
      <c r="J363" s="76"/>
      <c r="K363" s="77"/>
      <c r="L363" s="114" t="str">
        <f t="shared" si="15"/>
        <v/>
      </c>
      <c r="M363" s="91"/>
      <c r="N363" s="38" t="str">
        <f t="shared" si="16"/>
        <v/>
      </c>
      <c r="O363" s="38" t="str">
        <f t="shared" si="17"/>
        <v/>
      </c>
      <c r="P363" s="219"/>
    </row>
    <row r="364" spans="2:16" x14ac:dyDescent="0.3">
      <c r="B364" s="74"/>
      <c r="C364" s="74"/>
      <c r="D364" s="123"/>
      <c r="E364" s="75"/>
      <c r="F364" s="123"/>
      <c r="G364" s="191"/>
      <c r="H364" s="124"/>
      <c r="I364" s="140"/>
      <c r="J364" s="76"/>
      <c r="K364" s="77"/>
      <c r="L364" s="114" t="str">
        <f t="shared" si="15"/>
        <v/>
      </c>
      <c r="M364" s="91"/>
      <c r="N364" s="38" t="str">
        <f t="shared" si="16"/>
        <v/>
      </c>
      <c r="O364" s="38" t="str">
        <f t="shared" si="17"/>
        <v/>
      </c>
      <c r="P364" s="219"/>
    </row>
    <row r="365" spans="2:16" x14ac:dyDescent="0.3">
      <c r="B365" s="74"/>
      <c r="C365" s="74"/>
      <c r="D365" s="123"/>
      <c r="E365" s="75"/>
      <c r="F365" s="123"/>
      <c r="G365" s="191"/>
      <c r="H365" s="124"/>
      <c r="I365" s="140"/>
      <c r="J365" s="76"/>
      <c r="K365" s="77"/>
      <c r="L365" s="114" t="str">
        <f t="shared" si="15"/>
        <v/>
      </c>
      <c r="M365" s="91"/>
      <c r="N365" s="38" t="str">
        <f t="shared" si="16"/>
        <v/>
      </c>
      <c r="O365" s="38" t="str">
        <f t="shared" si="17"/>
        <v/>
      </c>
      <c r="P365" s="219"/>
    </row>
    <row r="366" spans="2:16" x14ac:dyDescent="0.3">
      <c r="B366" s="74"/>
      <c r="C366" s="74"/>
      <c r="D366" s="123"/>
      <c r="E366" s="75"/>
      <c r="F366" s="123"/>
      <c r="G366" s="191"/>
      <c r="H366" s="124"/>
      <c r="I366" s="140"/>
      <c r="J366" s="76"/>
      <c r="K366" s="77"/>
      <c r="L366" s="114" t="str">
        <f t="shared" si="15"/>
        <v/>
      </c>
      <c r="M366" s="91"/>
      <c r="N366" s="38" t="str">
        <f t="shared" si="16"/>
        <v/>
      </c>
      <c r="O366" s="38" t="str">
        <f t="shared" si="17"/>
        <v/>
      </c>
      <c r="P366" s="219"/>
    </row>
    <row r="367" spans="2:16" x14ac:dyDescent="0.3">
      <c r="B367" s="74"/>
      <c r="C367" s="74"/>
      <c r="D367" s="123"/>
      <c r="E367" s="75"/>
      <c r="F367" s="123"/>
      <c r="G367" s="191"/>
      <c r="H367" s="124"/>
      <c r="I367" s="140"/>
      <c r="J367" s="76"/>
      <c r="K367" s="77"/>
      <c r="L367" s="114" t="str">
        <f t="shared" si="15"/>
        <v/>
      </c>
      <c r="M367" s="91"/>
      <c r="N367" s="38" t="str">
        <f t="shared" si="16"/>
        <v/>
      </c>
      <c r="O367" s="38" t="str">
        <f t="shared" si="17"/>
        <v/>
      </c>
      <c r="P367" s="219"/>
    </row>
    <row r="368" spans="2:16" x14ac:dyDescent="0.3">
      <c r="B368" s="74"/>
      <c r="C368" s="74"/>
      <c r="D368" s="123"/>
      <c r="E368" s="75"/>
      <c r="F368" s="123"/>
      <c r="G368" s="191"/>
      <c r="H368" s="124"/>
      <c r="I368" s="140"/>
      <c r="J368" s="76"/>
      <c r="K368" s="77"/>
      <c r="L368" s="114" t="str">
        <f t="shared" si="15"/>
        <v/>
      </c>
      <c r="M368" s="91"/>
      <c r="N368" s="38" t="str">
        <f t="shared" si="16"/>
        <v/>
      </c>
      <c r="O368" s="38" t="str">
        <f t="shared" si="17"/>
        <v/>
      </c>
      <c r="P368" s="219"/>
    </row>
    <row r="369" spans="2:16" x14ac:dyDescent="0.3">
      <c r="B369" s="74"/>
      <c r="C369" s="74"/>
      <c r="D369" s="123"/>
      <c r="E369" s="75"/>
      <c r="F369" s="123"/>
      <c r="G369" s="191"/>
      <c r="H369" s="124"/>
      <c r="I369" s="140"/>
      <c r="J369" s="76"/>
      <c r="K369" s="77"/>
      <c r="L369" s="114" t="str">
        <f t="shared" si="15"/>
        <v/>
      </c>
      <c r="M369" s="91"/>
      <c r="N369" s="38" t="str">
        <f t="shared" si="16"/>
        <v/>
      </c>
      <c r="O369" s="38" t="str">
        <f t="shared" si="17"/>
        <v/>
      </c>
      <c r="P369" s="219"/>
    </row>
    <row r="370" spans="2:16" x14ac:dyDescent="0.3">
      <c r="B370" s="74"/>
      <c r="C370" s="74"/>
      <c r="D370" s="123"/>
      <c r="E370" s="75"/>
      <c r="F370" s="123"/>
      <c r="G370" s="191"/>
      <c r="H370" s="124"/>
      <c r="I370" s="140"/>
      <c r="J370" s="76"/>
      <c r="K370" s="77"/>
      <c r="L370" s="114" t="str">
        <f t="shared" si="15"/>
        <v/>
      </c>
      <c r="M370" s="91"/>
      <c r="N370" s="38" t="str">
        <f t="shared" si="16"/>
        <v/>
      </c>
      <c r="O370" s="38" t="str">
        <f t="shared" si="17"/>
        <v/>
      </c>
      <c r="P370" s="219"/>
    </row>
    <row r="371" spans="2:16" x14ac:dyDescent="0.3">
      <c r="B371" s="74"/>
      <c r="C371" s="74"/>
      <c r="D371" s="123"/>
      <c r="E371" s="75"/>
      <c r="F371" s="123"/>
      <c r="G371" s="191"/>
      <c r="H371" s="124"/>
      <c r="I371" s="140"/>
      <c r="J371" s="76"/>
      <c r="K371" s="77"/>
      <c r="L371" s="114" t="str">
        <f t="shared" si="15"/>
        <v/>
      </c>
      <c r="M371" s="91"/>
      <c r="N371" s="38" t="str">
        <f t="shared" si="16"/>
        <v/>
      </c>
      <c r="O371" s="38" t="str">
        <f t="shared" si="17"/>
        <v/>
      </c>
      <c r="P371" s="219"/>
    </row>
    <row r="372" spans="2:16" x14ac:dyDescent="0.3">
      <c r="B372" s="74"/>
      <c r="C372" s="74"/>
      <c r="D372" s="123"/>
      <c r="E372" s="75"/>
      <c r="F372" s="123"/>
      <c r="G372" s="191"/>
      <c r="H372" s="124"/>
      <c r="I372" s="140"/>
      <c r="J372" s="76"/>
      <c r="K372" s="77"/>
      <c r="L372" s="114" t="str">
        <f t="shared" si="15"/>
        <v/>
      </c>
      <c r="M372" s="91"/>
      <c r="N372" s="38" t="str">
        <f t="shared" si="16"/>
        <v/>
      </c>
      <c r="O372" s="38" t="str">
        <f t="shared" si="17"/>
        <v/>
      </c>
      <c r="P372" s="219"/>
    </row>
    <row r="373" spans="2:16" x14ac:dyDescent="0.3">
      <c r="B373" s="74"/>
      <c r="C373" s="74"/>
      <c r="D373" s="123"/>
      <c r="E373" s="75"/>
      <c r="F373" s="123"/>
      <c r="G373" s="191"/>
      <c r="H373" s="124"/>
      <c r="I373" s="140"/>
      <c r="J373" s="76"/>
      <c r="K373" s="77"/>
      <c r="L373" s="114" t="str">
        <f t="shared" si="15"/>
        <v/>
      </c>
      <c r="M373" s="91"/>
      <c r="N373" s="38" t="str">
        <f t="shared" si="16"/>
        <v/>
      </c>
      <c r="O373" s="38" t="str">
        <f t="shared" si="17"/>
        <v/>
      </c>
      <c r="P373" s="219"/>
    </row>
    <row r="374" spans="2:16" x14ac:dyDescent="0.3">
      <c r="B374" s="74"/>
      <c r="C374" s="74"/>
      <c r="D374" s="123"/>
      <c r="E374" s="75"/>
      <c r="F374" s="123"/>
      <c r="G374" s="191"/>
      <c r="H374" s="124"/>
      <c r="I374" s="140"/>
      <c r="J374" s="76"/>
      <c r="K374" s="77"/>
      <c r="L374" s="114" t="str">
        <f t="shared" si="15"/>
        <v/>
      </c>
      <c r="M374" s="91"/>
      <c r="N374" s="38" t="str">
        <f t="shared" si="16"/>
        <v/>
      </c>
      <c r="O374" s="38" t="str">
        <f t="shared" si="17"/>
        <v/>
      </c>
      <c r="P374" s="219"/>
    </row>
    <row r="375" spans="2:16" x14ac:dyDescent="0.3">
      <c r="B375" s="74"/>
      <c r="C375" s="74"/>
      <c r="D375" s="123"/>
      <c r="E375" s="75"/>
      <c r="F375" s="123"/>
      <c r="G375" s="191"/>
      <c r="H375" s="124"/>
      <c r="I375" s="140"/>
      <c r="J375" s="76"/>
      <c r="K375" s="77"/>
      <c r="L375" s="114" t="str">
        <f t="shared" si="15"/>
        <v/>
      </c>
      <c r="M375" s="91"/>
      <c r="N375" s="38" t="str">
        <f t="shared" si="16"/>
        <v/>
      </c>
      <c r="O375" s="38" t="str">
        <f t="shared" si="17"/>
        <v/>
      </c>
      <c r="P375" s="219"/>
    </row>
    <row r="376" spans="2:16" x14ac:dyDescent="0.3">
      <c r="B376" s="74"/>
      <c r="C376" s="74"/>
      <c r="D376" s="123"/>
      <c r="E376" s="75"/>
      <c r="F376" s="123"/>
      <c r="G376" s="191"/>
      <c r="H376" s="124"/>
      <c r="I376" s="140"/>
      <c r="J376" s="76"/>
      <c r="K376" s="77"/>
      <c r="L376" s="114" t="str">
        <f t="shared" si="15"/>
        <v/>
      </c>
      <c r="M376" s="91"/>
      <c r="N376" s="38" t="str">
        <f t="shared" si="16"/>
        <v/>
      </c>
      <c r="O376" s="38" t="str">
        <f t="shared" si="17"/>
        <v/>
      </c>
      <c r="P376" s="219"/>
    </row>
    <row r="377" spans="2:16" x14ac:dyDescent="0.3">
      <c r="B377" s="74"/>
      <c r="C377" s="74"/>
      <c r="D377" s="123"/>
      <c r="E377" s="75"/>
      <c r="F377" s="123"/>
      <c r="G377" s="191"/>
      <c r="H377" s="124"/>
      <c r="I377" s="140"/>
      <c r="J377" s="76"/>
      <c r="K377" s="77"/>
      <c r="L377" s="114" t="str">
        <f t="shared" si="15"/>
        <v/>
      </c>
      <c r="M377" s="91"/>
      <c r="N377" s="38" t="str">
        <f t="shared" si="16"/>
        <v/>
      </c>
      <c r="O377" s="38" t="str">
        <f t="shared" si="17"/>
        <v/>
      </c>
      <c r="P377" s="219"/>
    </row>
    <row r="378" spans="2:16" x14ac:dyDescent="0.3">
      <c r="B378" s="74"/>
      <c r="C378" s="74"/>
      <c r="D378" s="123"/>
      <c r="E378" s="75"/>
      <c r="F378" s="123"/>
      <c r="G378" s="191"/>
      <c r="H378" s="124"/>
      <c r="I378" s="140"/>
      <c r="J378" s="76"/>
      <c r="K378" s="77"/>
      <c r="L378" s="114" t="str">
        <f t="shared" si="15"/>
        <v/>
      </c>
      <c r="M378" s="91"/>
      <c r="N378" s="38" t="str">
        <f t="shared" si="16"/>
        <v/>
      </c>
      <c r="O378" s="38" t="str">
        <f t="shared" si="17"/>
        <v/>
      </c>
      <c r="P378" s="219"/>
    </row>
    <row r="379" spans="2:16" x14ac:dyDescent="0.3">
      <c r="B379" s="74"/>
      <c r="C379" s="74"/>
      <c r="D379" s="123"/>
      <c r="E379" s="75"/>
      <c r="F379" s="123"/>
      <c r="G379" s="191"/>
      <c r="H379" s="124"/>
      <c r="I379" s="140"/>
      <c r="J379" s="76"/>
      <c r="K379" s="77"/>
      <c r="L379" s="114" t="str">
        <f t="shared" si="15"/>
        <v/>
      </c>
      <c r="M379" s="91"/>
      <c r="N379" s="38" t="str">
        <f t="shared" si="16"/>
        <v/>
      </c>
      <c r="O379" s="38" t="str">
        <f t="shared" si="17"/>
        <v/>
      </c>
      <c r="P379" s="219"/>
    </row>
    <row r="380" spans="2:16" x14ac:dyDescent="0.3">
      <c r="B380" s="74"/>
      <c r="C380" s="74"/>
      <c r="D380" s="123"/>
      <c r="E380" s="75"/>
      <c r="F380" s="123"/>
      <c r="G380" s="191"/>
      <c r="H380" s="124"/>
      <c r="I380" s="140"/>
      <c r="J380" s="76"/>
      <c r="K380" s="77"/>
      <c r="L380" s="114" t="str">
        <f t="shared" si="15"/>
        <v/>
      </c>
      <c r="M380" s="91"/>
      <c r="N380" s="38" t="str">
        <f t="shared" si="16"/>
        <v/>
      </c>
      <c r="O380" s="38" t="str">
        <f t="shared" si="17"/>
        <v/>
      </c>
      <c r="P380" s="219"/>
    </row>
    <row r="381" spans="2:16" x14ac:dyDescent="0.3">
      <c r="B381" s="74"/>
      <c r="C381" s="74"/>
      <c r="D381" s="123"/>
      <c r="E381" s="75"/>
      <c r="F381" s="123"/>
      <c r="G381" s="191"/>
      <c r="H381" s="124"/>
      <c r="I381" s="140"/>
      <c r="J381" s="76"/>
      <c r="K381" s="77"/>
      <c r="L381" s="114" t="str">
        <f t="shared" si="15"/>
        <v/>
      </c>
      <c r="M381" s="91"/>
      <c r="N381" s="38" t="str">
        <f t="shared" si="16"/>
        <v/>
      </c>
      <c r="O381" s="38" t="str">
        <f t="shared" si="17"/>
        <v/>
      </c>
      <c r="P381" s="219"/>
    </row>
    <row r="382" spans="2:16" x14ac:dyDescent="0.3">
      <c r="B382" s="74"/>
      <c r="C382" s="74"/>
      <c r="D382" s="123"/>
      <c r="E382" s="75"/>
      <c r="F382" s="123"/>
      <c r="G382" s="191"/>
      <c r="H382" s="124"/>
      <c r="I382" s="140"/>
      <c r="J382" s="76"/>
      <c r="K382" s="77"/>
      <c r="L382" s="114" t="str">
        <f t="shared" si="15"/>
        <v/>
      </c>
      <c r="M382" s="91"/>
      <c r="N382" s="38" t="str">
        <f t="shared" si="16"/>
        <v/>
      </c>
      <c r="O382" s="38" t="str">
        <f t="shared" si="17"/>
        <v/>
      </c>
      <c r="P382" s="219"/>
    </row>
    <row r="383" spans="2:16" x14ac:dyDescent="0.3">
      <c r="B383" s="74"/>
      <c r="C383" s="74"/>
      <c r="D383" s="123"/>
      <c r="E383" s="75"/>
      <c r="F383" s="123"/>
      <c r="G383" s="191"/>
      <c r="H383" s="124"/>
      <c r="I383" s="140"/>
      <c r="J383" s="76"/>
      <c r="K383" s="77"/>
      <c r="L383" s="114" t="str">
        <f t="shared" si="15"/>
        <v/>
      </c>
      <c r="M383" s="91"/>
      <c r="N383" s="38" t="str">
        <f t="shared" si="16"/>
        <v/>
      </c>
      <c r="O383" s="38" t="str">
        <f t="shared" si="17"/>
        <v/>
      </c>
      <c r="P383" s="219"/>
    </row>
    <row r="384" spans="2:16" x14ac:dyDescent="0.3">
      <c r="B384" s="74"/>
      <c r="C384" s="74"/>
      <c r="D384" s="123"/>
      <c r="E384" s="75"/>
      <c r="F384" s="123"/>
      <c r="G384" s="191"/>
      <c r="H384" s="124"/>
      <c r="I384" s="140"/>
      <c r="J384" s="76"/>
      <c r="K384" s="77"/>
      <c r="L384" s="114" t="str">
        <f t="shared" si="15"/>
        <v/>
      </c>
      <c r="M384" s="91"/>
      <c r="N384" s="38" t="str">
        <f t="shared" si="16"/>
        <v/>
      </c>
      <c r="O384" s="38" t="str">
        <f t="shared" si="17"/>
        <v/>
      </c>
      <c r="P384" s="219"/>
    </row>
    <row r="385" spans="2:16" x14ac:dyDescent="0.3">
      <c r="B385" s="74"/>
      <c r="C385" s="74"/>
      <c r="D385" s="123"/>
      <c r="E385" s="75"/>
      <c r="F385" s="123"/>
      <c r="G385" s="191"/>
      <c r="H385" s="124"/>
      <c r="I385" s="140"/>
      <c r="J385" s="76"/>
      <c r="K385" s="77"/>
      <c r="L385" s="114" t="str">
        <f t="shared" si="15"/>
        <v/>
      </c>
      <c r="M385" s="91"/>
      <c r="N385" s="38" t="str">
        <f t="shared" si="16"/>
        <v/>
      </c>
      <c r="O385" s="38" t="str">
        <f t="shared" si="17"/>
        <v/>
      </c>
      <c r="P385" s="219"/>
    </row>
    <row r="386" spans="2:16" x14ac:dyDescent="0.3">
      <c r="B386" s="74"/>
      <c r="C386" s="74"/>
      <c r="D386" s="123"/>
      <c r="E386" s="75"/>
      <c r="F386" s="123"/>
      <c r="G386" s="191"/>
      <c r="H386" s="124"/>
      <c r="I386" s="140"/>
      <c r="J386" s="76"/>
      <c r="K386" s="77"/>
      <c r="L386" s="114" t="str">
        <f t="shared" si="15"/>
        <v/>
      </c>
      <c r="M386" s="91"/>
      <c r="N386" s="38" t="str">
        <f t="shared" si="16"/>
        <v/>
      </c>
      <c r="O386" s="38" t="str">
        <f t="shared" si="17"/>
        <v/>
      </c>
      <c r="P386" s="219"/>
    </row>
    <row r="387" spans="2:16" x14ac:dyDescent="0.3">
      <c r="B387" s="74"/>
      <c r="C387" s="74"/>
      <c r="D387" s="123"/>
      <c r="E387" s="75"/>
      <c r="F387" s="123"/>
      <c r="G387" s="191"/>
      <c r="H387" s="124"/>
      <c r="I387" s="140"/>
      <c r="J387" s="76"/>
      <c r="K387" s="77"/>
      <c r="L387" s="114" t="str">
        <f t="shared" si="15"/>
        <v/>
      </c>
      <c r="M387" s="91"/>
      <c r="N387" s="38" t="str">
        <f t="shared" si="16"/>
        <v/>
      </c>
      <c r="O387" s="38" t="str">
        <f t="shared" si="17"/>
        <v/>
      </c>
      <c r="P387" s="219"/>
    </row>
    <row r="388" spans="2:16" x14ac:dyDescent="0.3">
      <c r="B388" s="74"/>
      <c r="C388" s="74"/>
      <c r="D388" s="123"/>
      <c r="E388" s="75"/>
      <c r="F388" s="123"/>
      <c r="G388" s="191"/>
      <c r="H388" s="124"/>
      <c r="I388" s="140"/>
      <c r="J388" s="76"/>
      <c r="K388" s="77"/>
      <c r="L388" s="114" t="str">
        <f t="shared" si="15"/>
        <v/>
      </c>
      <c r="M388" s="91"/>
      <c r="N388" s="38" t="str">
        <f t="shared" si="16"/>
        <v/>
      </c>
      <c r="O388" s="38" t="str">
        <f t="shared" si="17"/>
        <v/>
      </c>
      <c r="P388" s="219"/>
    </row>
    <row r="389" spans="2:16" x14ac:dyDescent="0.3">
      <c r="B389" s="74"/>
      <c r="C389" s="74"/>
      <c r="D389" s="123"/>
      <c r="E389" s="75"/>
      <c r="F389" s="123"/>
      <c r="G389" s="191"/>
      <c r="H389" s="124"/>
      <c r="I389" s="140"/>
      <c r="J389" s="76"/>
      <c r="K389" s="77"/>
      <c r="L389" s="114" t="str">
        <f t="shared" si="15"/>
        <v/>
      </c>
      <c r="M389" s="91"/>
      <c r="N389" s="38" t="str">
        <f t="shared" si="16"/>
        <v/>
      </c>
      <c r="O389" s="38" t="str">
        <f t="shared" si="17"/>
        <v/>
      </c>
      <c r="P389" s="219"/>
    </row>
    <row r="390" spans="2:16" x14ac:dyDescent="0.3">
      <c r="B390" s="74"/>
      <c r="C390" s="74"/>
      <c r="D390" s="123"/>
      <c r="E390" s="75"/>
      <c r="F390" s="123"/>
      <c r="G390" s="191"/>
      <c r="H390" s="124"/>
      <c r="I390" s="140"/>
      <c r="J390" s="76"/>
      <c r="K390" s="77"/>
      <c r="L390" s="114" t="str">
        <f t="shared" si="15"/>
        <v/>
      </c>
      <c r="M390" s="91"/>
      <c r="N390" s="38" t="str">
        <f t="shared" si="16"/>
        <v/>
      </c>
      <c r="O390" s="38" t="str">
        <f t="shared" si="17"/>
        <v/>
      </c>
      <c r="P390" s="219"/>
    </row>
    <row r="391" spans="2:16" x14ac:dyDescent="0.3">
      <c r="B391" s="74"/>
      <c r="C391" s="74"/>
      <c r="D391" s="123"/>
      <c r="E391" s="75"/>
      <c r="F391" s="123"/>
      <c r="G391" s="191"/>
      <c r="H391" s="124"/>
      <c r="I391" s="140"/>
      <c r="J391" s="76"/>
      <c r="K391" s="77"/>
      <c r="L391" s="114" t="str">
        <f t="shared" ref="L391:L454" si="18">IF(AND(OR($B391="",$C391="",$G391="",$H391="",$J391="",$K391="",AND($C391="Factuur",$J391="Openstaand",$F391="")),NOT(AND($B391="",$C391="",$G391="",$H391="",$J391="",$K391=""))),"Er ontbreken gegevens",IF(AND(NOT(ISBLANK($B391)),$O391&lt;&gt;$K$1),IF(AND($O391&lt;$K$1,$J391="Openstaand"),"Op beginbalans","Datum buiten boekjaar"),""))</f>
        <v/>
      </c>
      <c r="M391" s="91"/>
      <c r="N391" s="38" t="str">
        <f t="shared" ref="N391:N454" si="19">IFERROR(IF($B391="","",MONTH($B$6:$B$500)),0)</f>
        <v/>
      </c>
      <c r="O391" s="38" t="str">
        <f t="shared" ref="O391:O454" si="20">IFERROR(IF($B391="","",YEAR($B$6:$B$500)),0)</f>
        <v/>
      </c>
      <c r="P391" s="219"/>
    </row>
    <row r="392" spans="2:16" x14ac:dyDescent="0.3">
      <c r="B392" s="74"/>
      <c r="C392" s="74"/>
      <c r="D392" s="123"/>
      <c r="E392" s="75"/>
      <c r="F392" s="123"/>
      <c r="G392" s="191"/>
      <c r="H392" s="124"/>
      <c r="I392" s="140"/>
      <c r="J392" s="76"/>
      <c r="K392" s="77"/>
      <c r="L392" s="114" t="str">
        <f t="shared" si="18"/>
        <v/>
      </c>
      <c r="M392" s="91"/>
      <c r="N392" s="38" t="str">
        <f t="shared" si="19"/>
        <v/>
      </c>
      <c r="O392" s="38" t="str">
        <f t="shared" si="20"/>
        <v/>
      </c>
      <c r="P392" s="219"/>
    </row>
    <row r="393" spans="2:16" x14ac:dyDescent="0.3">
      <c r="B393" s="74"/>
      <c r="C393" s="74"/>
      <c r="D393" s="123"/>
      <c r="E393" s="75"/>
      <c r="F393" s="123"/>
      <c r="G393" s="191"/>
      <c r="H393" s="124"/>
      <c r="I393" s="140"/>
      <c r="J393" s="76"/>
      <c r="K393" s="77"/>
      <c r="L393" s="114" t="str">
        <f t="shared" si="18"/>
        <v/>
      </c>
      <c r="M393" s="91"/>
      <c r="N393" s="38" t="str">
        <f t="shared" si="19"/>
        <v/>
      </c>
      <c r="O393" s="38" t="str">
        <f t="shared" si="20"/>
        <v/>
      </c>
      <c r="P393" s="219"/>
    </row>
    <row r="394" spans="2:16" x14ac:dyDescent="0.3">
      <c r="B394" s="74"/>
      <c r="C394" s="74"/>
      <c r="D394" s="123"/>
      <c r="E394" s="75"/>
      <c r="F394" s="123"/>
      <c r="G394" s="191"/>
      <c r="H394" s="124"/>
      <c r="I394" s="140"/>
      <c r="J394" s="76"/>
      <c r="K394" s="77"/>
      <c r="L394" s="114" t="str">
        <f t="shared" si="18"/>
        <v/>
      </c>
      <c r="M394" s="91"/>
      <c r="N394" s="38" t="str">
        <f t="shared" si="19"/>
        <v/>
      </c>
      <c r="O394" s="38" t="str">
        <f t="shared" si="20"/>
        <v/>
      </c>
      <c r="P394" s="219"/>
    </row>
    <row r="395" spans="2:16" x14ac:dyDescent="0.3">
      <c r="B395" s="74"/>
      <c r="C395" s="74"/>
      <c r="D395" s="123"/>
      <c r="E395" s="75"/>
      <c r="F395" s="123"/>
      <c r="G395" s="191"/>
      <c r="H395" s="124"/>
      <c r="I395" s="140"/>
      <c r="J395" s="76"/>
      <c r="K395" s="77"/>
      <c r="L395" s="114" t="str">
        <f t="shared" si="18"/>
        <v/>
      </c>
      <c r="M395" s="91"/>
      <c r="N395" s="38" t="str">
        <f t="shared" si="19"/>
        <v/>
      </c>
      <c r="O395" s="38" t="str">
        <f t="shared" si="20"/>
        <v/>
      </c>
      <c r="P395" s="219"/>
    </row>
    <row r="396" spans="2:16" x14ac:dyDescent="0.3">
      <c r="B396" s="74"/>
      <c r="C396" s="74"/>
      <c r="D396" s="123"/>
      <c r="E396" s="75"/>
      <c r="F396" s="123"/>
      <c r="G396" s="191"/>
      <c r="H396" s="124"/>
      <c r="I396" s="140"/>
      <c r="J396" s="76"/>
      <c r="K396" s="77"/>
      <c r="L396" s="114" t="str">
        <f t="shared" si="18"/>
        <v/>
      </c>
      <c r="M396" s="91"/>
      <c r="N396" s="38" t="str">
        <f t="shared" si="19"/>
        <v/>
      </c>
      <c r="O396" s="38" t="str">
        <f t="shared" si="20"/>
        <v/>
      </c>
      <c r="P396" s="219"/>
    </row>
    <row r="397" spans="2:16" x14ac:dyDescent="0.3">
      <c r="B397" s="74"/>
      <c r="C397" s="74"/>
      <c r="D397" s="123"/>
      <c r="E397" s="75"/>
      <c r="F397" s="123"/>
      <c r="G397" s="191"/>
      <c r="H397" s="124"/>
      <c r="I397" s="140"/>
      <c r="J397" s="76"/>
      <c r="K397" s="77"/>
      <c r="L397" s="114" t="str">
        <f t="shared" si="18"/>
        <v/>
      </c>
      <c r="M397" s="91"/>
      <c r="N397" s="38" t="str">
        <f t="shared" si="19"/>
        <v/>
      </c>
      <c r="O397" s="38" t="str">
        <f t="shared" si="20"/>
        <v/>
      </c>
      <c r="P397" s="219"/>
    </row>
    <row r="398" spans="2:16" x14ac:dyDescent="0.3">
      <c r="B398" s="74"/>
      <c r="C398" s="74"/>
      <c r="D398" s="123"/>
      <c r="E398" s="75"/>
      <c r="F398" s="123"/>
      <c r="G398" s="191"/>
      <c r="H398" s="124"/>
      <c r="I398" s="140"/>
      <c r="J398" s="76"/>
      <c r="K398" s="77"/>
      <c r="L398" s="114" t="str">
        <f t="shared" si="18"/>
        <v/>
      </c>
      <c r="M398" s="91"/>
      <c r="N398" s="38" t="str">
        <f t="shared" si="19"/>
        <v/>
      </c>
      <c r="O398" s="38" t="str">
        <f t="shared" si="20"/>
        <v/>
      </c>
      <c r="P398" s="219"/>
    </row>
    <row r="399" spans="2:16" x14ac:dyDescent="0.3">
      <c r="B399" s="74"/>
      <c r="C399" s="74"/>
      <c r="D399" s="123"/>
      <c r="E399" s="75"/>
      <c r="F399" s="123"/>
      <c r="G399" s="191"/>
      <c r="H399" s="124"/>
      <c r="I399" s="140"/>
      <c r="J399" s="76"/>
      <c r="K399" s="77"/>
      <c r="L399" s="114" t="str">
        <f t="shared" si="18"/>
        <v/>
      </c>
      <c r="M399" s="91"/>
      <c r="N399" s="38" t="str">
        <f t="shared" si="19"/>
        <v/>
      </c>
      <c r="O399" s="38" t="str">
        <f t="shared" si="20"/>
        <v/>
      </c>
      <c r="P399" s="219"/>
    </row>
    <row r="400" spans="2:16" x14ac:dyDescent="0.3">
      <c r="B400" s="74"/>
      <c r="C400" s="74"/>
      <c r="D400" s="123"/>
      <c r="E400" s="75"/>
      <c r="F400" s="123"/>
      <c r="G400" s="191"/>
      <c r="H400" s="124"/>
      <c r="I400" s="140"/>
      <c r="J400" s="76"/>
      <c r="K400" s="77"/>
      <c r="L400" s="114" t="str">
        <f t="shared" si="18"/>
        <v/>
      </c>
      <c r="M400" s="91"/>
      <c r="N400" s="38" t="str">
        <f t="shared" si="19"/>
        <v/>
      </c>
      <c r="O400" s="38" t="str">
        <f t="shared" si="20"/>
        <v/>
      </c>
      <c r="P400" s="219"/>
    </row>
    <row r="401" spans="2:16" x14ac:dyDescent="0.3">
      <c r="B401" s="74"/>
      <c r="C401" s="74"/>
      <c r="D401" s="123"/>
      <c r="E401" s="75"/>
      <c r="F401" s="123"/>
      <c r="G401" s="191"/>
      <c r="H401" s="124"/>
      <c r="I401" s="140"/>
      <c r="J401" s="76"/>
      <c r="K401" s="77"/>
      <c r="L401" s="114" t="str">
        <f t="shared" si="18"/>
        <v/>
      </c>
      <c r="M401" s="91"/>
      <c r="N401" s="38" t="str">
        <f t="shared" si="19"/>
        <v/>
      </c>
      <c r="O401" s="38" t="str">
        <f t="shared" si="20"/>
        <v/>
      </c>
      <c r="P401" s="219"/>
    </row>
    <row r="402" spans="2:16" x14ac:dyDescent="0.3">
      <c r="B402" s="74"/>
      <c r="C402" s="74"/>
      <c r="D402" s="123"/>
      <c r="E402" s="75"/>
      <c r="F402" s="123"/>
      <c r="G402" s="191"/>
      <c r="H402" s="124"/>
      <c r="I402" s="140"/>
      <c r="J402" s="76"/>
      <c r="K402" s="77"/>
      <c r="L402" s="114" t="str">
        <f t="shared" si="18"/>
        <v/>
      </c>
      <c r="M402" s="91"/>
      <c r="N402" s="38" t="str">
        <f t="shared" si="19"/>
        <v/>
      </c>
      <c r="O402" s="38" t="str">
        <f t="shared" si="20"/>
        <v/>
      </c>
      <c r="P402" s="219"/>
    </row>
    <row r="403" spans="2:16" x14ac:dyDescent="0.3">
      <c r="B403" s="74"/>
      <c r="C403" s="74"/>
      <c r="D403" s="123"/>
      <c r="E403" s="75"/>
      <c r="F403" s="123"/>
      <c r="G403" s="191"/>
      <c r="H403" s="124"/>
      <c r="I403" s="140"/>
      <c r="J403" s="76"/>
      <c r="K403" s="77"/>
      <c r="L403" s="114" t="str">
        <f t="shared" si="18"/>
        <v/>
      </c>
      <c r="M403" s="91"/>
      <c r="N403" s="38" t="str">
        <f t="shared" si="19"/>
        <v/>
      </c>
      <c r="O403" s="38" t="str">
        <f t="shared" si="20"/>
        <v/>
      </c>
      <c r="P403" s="219"/>
    </row>
    <row r="404" spans="2:16" x14ac:dyDescent="0.3">
      <c r="B404" s="74"/>
      <c r="C404" s="74"/>
      <c r="D404" s="123"/>
      <c r="E404" s="75"/>
      <c r="F404" s="123"/>
      <c r="G404" s="191"/>
      <c r="H404" s="124"/>
      <c r="I404" s="140"/>
      <c r="J404" s="76"/>
      <c r="K404" s="77"/>
      <c r="L404" s="114" t="str">
        <f t="shared" si="18"/>
        <v/>
      </c>
      <c r="M404" s="91"/>
      <c r="N404" s="38" t="str">
        <f t="shared" si="19"/>
        <v/>
      </c>
      <c r="O404" s="38" t="str">
        <f t="shared" si="20"/>
        <v/>
      </c>
      <c r="P404" s="219"/>
    </row>
    <row r="405" spans="2:16" x14ac:dyDescent="0.3">
      <c r="B405" s="74"/>
      <c r="C405" s="74"/>
      <c r="D405" s="123"/>
      <c r="E405" s="75"/>
      <c r="F405" s="123"/>
      <c r="G405" s="191"/>
      <c r="H405" s="124"/>
      <c r="I405" s="140"/>
      <c r="J405" s="76"/>
      <c r="K405" s="77"/>
      <c r="L405" s="114" t="str">
        <f t="shared" si="18"/>
        <v/>
      </c>
      <c r="M405" s="91"/>
      <c r="N405" s="38" t="str">
        <f t="shared" si="19"/>
        <v/>
      </c>
      <c r="O405" s="38" t="str">
        <f t="shared" si="20"/>
        <v/>
      </c>
      <c r="P405" s="219"/>
    </row>
    <row r="406" spans="2:16" x14ac:dyDescent="0.3">
      <c r="B406" s="74"/>
      <c r="C406" s="74"/>
      <c r="D406" s="123"/>
      <c r="E406" s="75"/>
      <c r="F406" s="123"/>
      <c r="G406" s="191"/>
      <c r="H406" s="124"/>
      <c r="I406" s="140"/>
      <c r="J406" s="76"/>
      <c r="K406" s="77"/>
      <c r="L406" s="114" t="str">
        <f t="shared" si="18"/>
        <v/>
      </c>
      <c r="M406" s="91"/>
      <c r="N406" s="38" t="str">
        <f t="shared" si="19"/>
        <v/>
      </c>
      <c r="O406" s="38" t="str">
        <f t="shared" si="20"/>
        <v/>
      </c>
      <c r="P406" s="219"/>
    </row>
    <row r="407" spans="2:16" x14ac:dyDescent="0.3">
      <c r="B407" s="74"/>
      <c r="C407" s="74"/>
      <c r="D407" s="123"/>
      <c r="E407" s="75"/>
      <c r="F407" s="123"/>
      <c r="G407" s="191"/>
      <c r="H407" s="124"/>
      <c r="I407" s="140"/>
      <c r="J407" s="76"/>
      <c r="K407" s="77"/>
      <c r="L407" s="114" t="str">
        <f t="shared" si="18"/>
        <v/>
      </c>
      <c r="M407" s="91"/>
      <c r="N407" s="38" t="str">
        <f t="shared" si="19"/>
        <v/>
      </c>
      <c r="O407" s="38" t="str">
        <f t="shared" si="20"/>
        <v/>
      </c>
      <c r="P407" s="219"/>
    </row>
    <row r="408" spans="2:16" x14ac:dyDescent="0.3">
      <c r="B408" s="74"/>
      <c r="C408" s="74"/>
      <c r="D408" s="123"/>
      <c r="E408" s="75"/>
      <c r="F408" s="123"/>
      <c r="G408" s="191"/>
      <c r="H408" s="124"/>
      <c r="I408" s="140"/>
      <c r="J408" s="76"/>
      <c r="K408" s="77"/>
      <c r="L408" s="114" t="str">
        <f t="shared" si="18"/>
        <v/>
      </c>
      <c r="M408" s="91"/>
      <c r="N408" s="38" t="str">
        <f t="shared" si="19"/>
        <v/>
      </c>
      <c r="O408" s="38" t="str">
        <f t="shared" si="20"/>
        <v/>
      </c>
      <c r="P408" s="219"/>
    </row>
    <row r="409" spans="2:16" x14ac:dyDescent="0.3">
      <c r="B409" s="74"/>
      <c r="C409" s="74"/>
      <c r="D409" s="123"/>
      <c r="E409" s="75"/>
      <c r="F409" s="123"/>
      <c r="G409" s="191"/>
      <c r="H409" s="124"/>
      <c r="I409" s="140"/>
      <c r="J409" s="76"/>
      <c r="K409" s="77"/>
      <c r="L409" s="114" t="str">
        <f t="shared" si="18"/>
        <v/>
      </c>
      <c r="M409" s="91"/>
      <c r="N409" s="38" t="str">
        <f t="shared" si="19"/>
        <v/>
      </c>
      <c r="O409" s="38" t="str">
        <f t="shared" si="20"/>
        <v/>
      </c>
      <c r="P409" s="219"/>
    </row>
    <row r="410" spans="2:16" x14ac:dyDescent="0.3">
      <c r="B410" s="74"/>
      <c r="C410" s="74"/>
      <c r="D410" s="123"/>
      <c r="E410" s="75"/>
      <c r="F410" s="123"/>
      <c r="G410" s="191"/>
      <c r="H410" s="124"/>
      <c r="I410" s="140"/>
      <c r="J410" s="76"/>
      <c r="K410" s="77"/>
      <c r="L410" s="114" t="str">
        <f t="shared" si="18"/>
        <v/>
      </c>
      <c r="M410" s="91"/>
      <c r="N410" s="38" t="str">
        <f t="shared" si="19"/>
        <v/>
      </c>
      <c r="O410" s="38" t="str">
        <f t="shared" si="20"/>
        <v/>
      </c>
      <c r="P410" s="219"/>
    </row>
    <row r="411" spans="2:16" x14ac:dyDescent="0.3">
      <c r="B411" s="74"/>
      <c r="C411" s="74"/>
      <c r="D411" s="123"/>
      <c r="E411" s="75"/>
      <c r="F411" s="123"/>
      <c r="G411" s="191"/>
      <c r="H411" s="124"/>
      <c r="I411" s="140"/>
      <c r="J411" s="76"/>
      <c r="K411" s="77"/>
      <c r="L411" s="114" t="str">
        <f t="shared" si="18"/>
        <v/>
      </c>
      <c r="M411" s="91"/>
      <c r="N411" s="38" t="str">
        <f t="shared" si="19"/>
        <v/>
      </c>
      <c r="O411" s="38" t="str">
        <f t="shared" si="20"/>
        <v/>
      </c>
      <c r="P411" s="219"/>
    </row>
    <row r="412" spans="2:16" x14ac:dyDescent="0.3">
      <c r="B412" s="74"/>
      <c r="C412" s="74"/>
      <c r="D412" s="123"/>
      <c r="E412" s="75"/>
      <c r="F412" s="123"/>
      <c r="G412" s="191"/>
      <c r="H412" s="124"/>
      <c r="I412" s="140"/>
      <c r="J412" s="76"/>
      <c r="K412" s="77"/>
      <c r="L412" s="114" t="str">
        <f t="shared" si="18"/>
        <v/>
      </c>
      <c r="M412" s="91"/>
      <c r="N412" s="38" t="str">
        <f t="shared" si="19"/>
        <v/>
      </c>
      <c r="O412" s="38" t="str">
        <f t="shared" si="20"/>
        <v/>
      </c>
      <c r="P412" s="219"/>
    </row>
    <row r="413" spans="2:16" x14ac:dyDescent="0.3">
      <c r="B413" s="74"/>
      <c r="C413" s="74"/>
      <c r="D413" s="123"/>
      <c r="E413" s="75"/>
      <c r="F413" s="123"/>
      <c r="G413" s="191"/>
      <c r="H413" s="124"/>
      <c r="I413" s="140"/>
      <c r="J413" s="76"/>
      <c r="K413" s="77"/>
      <c r="L413" s="114" t="str">
        <f t="shared" si="18"/>
        <v/>
      </c>
      <c r="M413" s="91"/>
      <c r="N413" s="38" t="str">
        <f t="shared" si="19"/>
        <v/>
      </c>
      <c r="O413" s="38" t="str">
        <f t="shared" si="20"/>
        <v/>
      </c>
      <c r="P413" s="219"/>
    </row>
    <row r="414" spans="2:16" x14ac:dyDescent="0.3">
      <c r="B414" s="74"/>
      <c r="C414" s="74"/>
      <c r="D414" s="123"/>
      <c r="E414" s="75"/>
      <c r="F414" s="123"/>
      <c r="G414" s="191"/>
      <c r="H414" s="124"/>
      <c r="I414" s="140"/>
      <c r="J414" s="76"/>
      <c r="K414" s="77"/>
      <c r="L414" s="114" t="str">
        <f t="shared" si="18"/>
        <v/>
      </c>
      <c r="M414" s="91"/>
      <c r="N414" s="38" t="str">
        <f t="shared" si="19"/>
        <v/>
      </c>
      <c r="O414" s="38" t="str">
        <f t="shared" si="20"/>
        <v/>
      </c>
      <c r="P414" s="219"/>
    </row>
    <row r="415" spans="2:16" x14ac:dyDescent="0.3">
      <c r="B415" s="74"/>
      <c r="C415" s="74"/>
      <c r="D415" s="123"/>
      <c r="E415" s="75"/>
      <c r="F415" s="123"/>
      <c r="G415" s="191"/>
      <c r="H415" s="124"/>
      <c r="I415" s="140"/>
      <c r="J415" s="76"/>
      <c r="K415" s="77"/>
      <c r="L415" s="114" t="str">
        <f t="shared" si="18"/>
        <v/>
      </c>
      <c r="M415" s="91"/>
      <c r="N415" s="38" t="str">
        <f t="shared" si="19"/>
        <v/>
      </c>
      <c r="O415" s="38" t="str">
        <f t="shared" si="20"/>
        <v/>
      </c>
      <c r="P415" s="219"/>
    </row>
    <row r="416" spans="2:16" x14ac:dyDescent="0.3">
      <c r="B416" s="74"/>
      <c r="C416" s="74"/>
      <c r="D416" s="123"/>
      <c r="E416" s="75"/>
      <c r="F416" s="123"/>
      <c r="G416" s="191"/>
      <c r="H416" s="124"/>
      <c r="I416" s="140"/>
      <c r="J416" s="76"/>
      <c r="K416" s="77"/>
      <c r="L416" s="114" t="str">
        <f t="shared" si="18"/>
        <v/>
      </c>
      <c r="M416" s="91"/>
      <c r="N416" s="38" t="str">
        <f t="shared" si="19"/>
        <v/>
      </c>
      <c r="O416" s="38" t="str">
        <f t="shared" si="20"/>
        <v/>
      </c>
      <c r="P416" s="219"/>
    </row>
    <row r="417" spans="2:16" x14ac:dyDescent="0.3">
      <c r="B417" s="74"/>
      <c r="C417" s="74"/>
      <c r="D417" s="123"/>
      <c r="E417" s="75"/>
      <c r="F417" s="123"/>
      <c r="G417" s="191"/>
      <c r="H417" s="124"/>
      <c r="I417" s="140"/>
      <c r="J417" s="76"/>
      <c r="K417" s="77"/>
      <c r="L417" s="114" t="str">
        <f t="shared" si="18"/>
        <v/>
      </c>
      <c r="M417" s="91"/>
      <c r="N417" s="38" t="str">
        <f t="shared" si="19"/>
        <v/>
      </c>
      <c r="O417" s="38" t="str">
        <f t="shared" si="20"/>
        <v/>
      </c>
      <c r="P417" s="219"/>
    </row>
    <row r="418" spans="2:16" x14ac:dyDescent="0.3">
      <c r="B418" s="74"/>
      <c r="C418" s="74"/>
      <c r="D418" s="123"/>
      <c r="E418" s="75"/>
      <c r="F418" s="123"/>
      <c r="G418" s="191"/>
      <c r="H418" s="124"/>
      <c r="I418" s="140"/>
      <c r="J418" s="76"/>
      <c r="K418" s="77"/>
      <c r="L418" s="114" t="str">
        <f t="shared" si="18"/>
        <v/>
      </c>
      <c r="M418" s="91"/>
      <c r="N418" s="38" t="str">
        <f t="shared" si="19"/>
        <v/>
      </c>
      <c r="O418" s="38" t="str">
        <f t="shared" si="20"/>
        <v/>
      </c>
      <c r="P418" s="219"/>
    </row>
    <row r="419" spans="2:16" x14ac:dyDescent="0.3">
      <c r="B419" s="74"/>
      <c r="C419" s="74"/>
      <c r="D419" s="123"/>
      <c r="E419" s="75"/>
      <c r="F419" s="123"/>
      <c r="G419" s="191"/>
      <c r="H419" s="124"/>
      <c r="I419" s="140"/>
      <c r="J419" s="76"/>
      <c r="K419" s="77"/>
      <c r="L419" s="114" t="str">
        <f t="shared" si="18"/>
        <v/>
      </c>
      <c r="M419" s="91"/>
      <c r="N419" s="38" t="str">
        <f t="shared" si="19"/>
        <v/>
      </c>
      <c r="O419" s="38" t="str">
        <f t="shared" si="20"/>
        <v/>
      </c>
      <c r="P419" s="219"/>
    </row>
    <row r="420" spans="2:16" x14ac:dyDescent="0.3">
      <c r="B420" s="74"/>
      <c r="C420" s="74"/>
      <c r="D420" s="123"/>
      <c r="E420" s="75"/>
      <c r="F420" s="123"/>
      <c r="G420" s="191"/>
      <c r="H420" s="124"/>
      <c r="I420" s="140"/>
      <c r="J420" s="76"/>
      <c r="K420" s="77"/>
      <c r="L420" s="114" t="str">
        <f t="shared" si="18"/>
        <v/>
      </c>
      <c r="M420" s="91"/>
      <c r="N420" s="38" t="str">
        <f t="shared" si="19"/>
        <v/>
      </c>
      <c r="O420" s="38" t="str">
        <f t="shared" si="20"/>
        <v/>
      </c>
      <c r="P420" s="219"/>
    </row>
    <row r="421" spans="2:16" x14ac:dyDescent="0.3">
      <c r="B421" s="74"/>
      <c r="C421" s="74"/>
      <c r="D421" s="123"/>
      <c r="E421" s="75"/>
      <c r="F421" s="123"/>
      <c r="G421" s="191"/>
      <c r="H421" s="124"/>
      <c r="I421" s="140"/>
      <c r="J421" s="76"/>
      <c r="K421" s="77"/>
      <c r="L421" s="114" t="str">
        <f t="shared" si="18"/>
        <v/>
      </c>
      <c r="M421" s="91"/>
      <c r="N421" s="38" t="str">
        <f t="shared" si="19"/>
        <v/>
      </c>
      <c r="O421" s="38" t="str">
        <f t="shared" si="20"/>
        <v/>
      </c>
      <c r="P421" s="219"/>
    </row>
    <row r="422" spans="2:16" x14ac:dyDescent="0.3">
      <c r="B422" s="74"/>
      <c r="C422" s="74"/>
      <c r="D422" s="123"/>
      <c r="E422" s="75"/>
      <c r="F422" s="123"/>
      <c r="G422" s="191"/>
      <c r="H422" s="124"/>
      <c r="I422" s="140"/>
      <c r="J422" s="76"/>
      <c r="K422" s="77"/>
      <c r="L422" s="114" t="str">
        <f t="shared" si="18"/>
        <v/>
      </c>
      <c r="M422" s="91"/>
      <c r="N422" s="38" t="str">
        <f t="shared" si="19"/>
        <v/>
      </c>
      <c r="O422" s="38" t="str">
        <f t="shared" si="20"/>
        <v/>
      </c>
      <c r="P422" s="219"/>
    </row>
    <row r="423" spans="2:16" x14ac:dyDescent="0.3">
      <c r="B423" s="74"/>
      <c r="C423" s="74"/>
      <c r="D423" s="123"/>
      <c r="E423" s="75"/>
      <c r="F423" s="123"/>
      <c r="G423" s="191"/>
      <c r="H423" s="124"/>
      <c r="I423" s="140"/>
      <c r="J423" s="76"/>
      <c r="K423" s="77"/>
      <c r="L423" s="114" t="str">
        <f t="shared" si="18"/>
        <v/>
      </c>
      <c r="M423" s="91"/>
      <c r="N423" s="38" t="str">
        <f t="shared" si="19"/>
        <v/>
      </c>
      <c r="O423" s="38" t="str">
        <f t="shared" si="20"/>
        <v/>
      </c>
      <c r="P423" s="219"/>
    </row>
    <row r="424" spans="2:16" x14ac:dyDescent="0.3">
      <c r="B424" s="74"/>
      <c r="C424" s="74"/>
      <c r="D424" s="123"/>
      <c r="E424" s="75"/>
      <c r="F424" s="123"/>
      <c r="G424" s="191"/>
      <c r="H424" s="124"/>
      <c r="I424" s="140"/>
      <c r="J424" s="76"/>
      <c r="K424" s="77"/>
      <c r="L424" s="114" t="str">
        <f t="shared" si="18"/>
        <v/>
      </c>
      <c r="M424" s="91"/>
      <c r="N424" s="38" t="str">
        <f t="shared" si="19"/>
        <v/>
      </c>
      <c r="O424" s="38" t="str">
        <f t="shared" si="20"/>
        <v/>
      </c>
      <c r="P424" s="219"/>
    </row>
    <row r="425" spans="2:16" x14ac:dyDescent="0.3">
      <c r="B425" s="74"/>
      <c r="C425" s="74"/>
      <c r="D425" s="123"/>
      <c r="E425" s="75"/>
      <c r="F425" s="123"/>
      <c r="G425" s="191"/>
      <c r="H425" s="124"/>
      <c r="I425" s="140"/>
      <c r="J425" s="76"/>
      <c r="K425" s="77"/>
      <c r="L425" s="114" t="str">
        <f t="shared" si="18"/>
        <v/>
      </c>
      <c r="M425" s="91"/>
      <c r="N425" s="38" t="str">
        <f t="shared" si="19"/>
        <v/>
      </c>
      <c r="O425" s="38" t="str">
        <f t="shared" si="20"/>
        <v/>
      </c>
      <c r="P425" s="219"/>
    </row>
    <row r="426" spans="2:16" x14ac:dyDescent="0.3">
      <c r="B426" s="74"/>
      <c r="C426" s="74"/>
      <c r="D426" s="123"/>
      <c r="E426" s="75"/>
      <c r="F426" s="123"/>
      <c r="G426" s="191"/>
      <c r="H426" s="124"/>
      <c r="I426" s="140"/>
      <c r="J426" s="76"/>
      <c r="K426" s="77"/>
      <c r="L426" s="114" t="str">
        <f t="shared" si="18"/>
        <v/>
      </c>
      <c r="M426" s="91"/>
      <c r="N426" s="38" t="str">
        <f t="shared" si="19"/>
        <v/>
      </c>
      <c r="O426" s="38" t="str">
        <f t="shared" si="20"/>
        <v/>
      </c>
      <c r="P426" s="219"/>
    </row>
    <row r="427" spans="2:16" x14ac:dyDescent="0.3">
      <c r="B427" s="74"/>
      <c r="C427" s="74"/>
      <c r="D427" s="123"/>
      <c r="E427" s="75"/>
      <c r="F427" s="123"/>
      <c r="G427" s="191"/>
      <c r="H427" s="124"/>
      <c r="I427" s="140"/>
      <c r="J427" s="76"/>
      <c r="K427" s="77"/>
      <c r="L427" s="114" t="str">
        <f t="shared" si="18"/>
        <v/>
      </c>
      <c r="M427" s="91"/>
      <c r="N427" s="38" t="str">
        <f t="shared" si="19"/>
        <v/>
      </c>
      <c r="O427" s="38" t="str">
        <f t="shared" si="20"/>
        <v/>
      </c>
      <c r="P427" s="219"/>
    </row>
    <row r="428" spans="2:16" x14ac:dyDescent="0.3">
      <c r="B428" s="74"/>
      <c r="C428" s="74"/>
      <c r="D428" s="123"/>
      <c r="E428" s="75"/>
      <c r="F428" s="123"/>
      <c r="G428" s="191"/>
      <c r="H428" s="124"/>
      <c r="I428" s="140"/>
      <c r="J428" s="76"/>
      <c r="K428" s="77"/>
      <c r="L428" s="114" t="str">
        <f t="shared" si="18"/>
        <v/>
      </c>
      <c r="M428" s="91"/>
      <c r="N428" s="38" t="str">
        <f t="shared" si="19"/>
        <v/>
      </c>
      <c r="O428" s="38" t="str">
        <f t="shared" si="20"/>
        <v/>
      </c>
      <c r="P428" s="219"/>
    </row>
    <row r="429" spans="2:16" x14ac:dyDescent="0.3">
      <c r="B429" s="74"/>
      <c r="C429" s="74"/>
      <c r="D429" s="123"/>
      <c r="E429" s="75"/>
      <c r="F429" s="123"/>
      <c r="G429" s="191"/>
      <c r="H429" s="124"/>
      <c r="I429" s="140"/>
      <c r="J429" s="76"/>
      <c r="K429" s="77"/>
      <c r="L429" s="114" t="str">
        <f t="shared" si="18"/>
        <v/>
      </c>
      <c r="M429" s="91"/>
      <c r="N429" s="38" t="str">
        <f t="shared" si="19"/>
        <v/>
      </c>
      <c r="O429" s="38" t="str">
        <f t="shared" si="20"/>
        <v/>
      </c>
      <c r="P429" s="219"/>
    </row>
    <row r="430" spans="2:16" x14ac:dyDescent="0.3">
      <c r="B430" s="74"/>
      <c r="C430" s="74"/>
      <c r="D430" s="123"/>
      <c r="E430" s="75"/>
      <c r="F430" s="123"/>
      <c r="G430" s="191"/>
      <c r="H430" s="124"/>
      <c r="I430" s="140"/>
      <c r="J430" s="76"/>
      <c r="K430" s="77"/>
      <c r="L430" s="114" t="str">
        <f t="shared" si="18"/>
        <v/>
      </c>
      <c r="M430" s="91"/>
      <c r="N430" s="38" t="str">
        <f t="shared" si="19"/>
        <v/>
      </c>
      <c r="O430" s="38" t="str">
        <f t="shared" si="20"/>
        <v/>
      </c>
      <c r="P430" s="219"/>
    </row>
    <row r="431" spans="2:16" x14ac:dyDescent="0.3">
      <c r="B431" s="74"/>
      <c r="C431" s="74"/>
      <c r="D431" s="123"/>
      <c r="E431" s="75"/>
      <c r="F431" s="123"/>
      <c r="G431" s="191"/>
      <c r="H431" s="124"/>
      <c r="I431" s="140"/>
      <c r="J431" s="76"/>
      <c r="K431" s="77"/>
      <c r="L431" s="114" t="str">
        <f t="shared" si="18"/>
        <v/>
      </c>
      <c r="M431" s="91"/>
      <c r="N431" s="38" t="str">
        <f t="shared" si="19"/>
        <v/>
      </c>
      <c r="O431" s="38" t="str">
        <f t="shared" si="20"/>
        <v/>
      </c>
      <c r="P431" s="219"/>
    </row>
    <row r="432" spans="2:16" x14ac:dyDescent="0.3">
      <c r="B432" s="74"/>
      <c r="C432" s="74"/>
      <c r="D432" s="123"/>
      <c r="E432" s="75"/>
      <c r="F432" s="123"/>
      <c r="G432" s="191"/>
      <c r="H432" s="124"/>
      <c r="I432" s="140"/>
      <c r="J432" s="76"/>
      <c r="K432" s="77"/>
      <c r="L432" s="114" t="str">
        <f t="shared" si="18"/>
        <v/>
      </c>
      <c r="M432" s="91"/>
      <c r="N432" s="38" t="str">
        <f t="shared" si="19"/>
        <v/>
      </c>
      <c r="O432" s="38" t="str">
        <f t="shared" si="20"/>
        <v/>
      </c>
      <c r="P432" s="219"/>
    </row>
    <row r="433" spans="2:16" x14ac:dyDescent="0.3">
      <c r="B433" s="74"/>
      <c r="C433" s="74"/>
      <c r="D433" s="123"/>
      <c r="E433" s="75"/>
      <c r="F433" s="123"/>
      <c r="G433" s="191"/>
      <c r="H433" s="124"/>
      <c r="I433" s="140"/>
      <c r="J433" s="76"/>
      <c r="K433" s="77"/>
      <c r="L433" s="114" t="str">
        <f t="shared" si="18"/>
        <v/>
      </c>
      <c r="M433" s="91"/>
      <c r="N433" s="38" t="str">
        <f t="shared" si="19"/>
        <v/>
      </c>
      <c r="O433" s="38" t="str">
        <f t="shared" si="20"/>
        <v/>
      </c>
      <c r="P433" s="219"/>
    </row>
    <row r="434" spans="2:16" x14ac:dyDescent="0.3">
      <c r="B434" s="74"/>
      <c r="C434" s="74"/>
      <c r="D434" s="123"/>
      <c r="E434" s="75"/>
      <c r="F434" s="123"/>
      <c r="G434" s="191"/>
      <c r="H434" s="124"/>
      <c r="I434" s="140"/>
      <c r="J434" s="76"/>
      <c r="K434" s="77"/>
      <c r="L434" s="114" t="str">
        <f t="shared" si="18"/>
        <v/>
      </c>
      <c r="M434" s="91"/>
      <c r="N434" s="38" t="str">
        <f t="shared" si="19"/>
        <v/>
      </c>
      <c r="O434" s="38" t="str">
        <f t="shared" si="20"/>
        <v/>
      </c>
      <c r="P434" s="219"/>
    </row>
    <row r="435" spans="2:16" x14ac:dyDescent="0.3">
      <c r="B435" s="74"/>
      <c r="C435" s="74"/>
      <c r="D435" s="123"/>
      <c r="E435" s="75"/>
      <c r="F435" s="123"/>
      <c r="G435" s="191"/>
      <c r="H435" s="124"/>
      <c r="I435" s="140"/>
      <c r="J435" s="76"/>
      <c r="K435" s="77"/>
      <c r="L435" s="114" t="str">
        <f t="shared" si="18"/>
        <v/>
      </c>
      <c r="M435" s="91"/>
      <c r="N435" s="38" t="str">
        <f t="shared" si="19"/>
        <v/>
      </c>
      <c r="O435" s="38" t="str">
        <f t="shared" si="20"/>
        <v/>
      </c>
      <c r="P435" s="219"/>
    </row>
    <row r="436" spans="2:16" x14ac:dyDescent="0.3">
      <c r="B436" s="74"/>
      <c r="C436" s="74"/>
      <c r="D436" s="123"/>
      <c r="E436" s="75"/>
      <c r="F436" s="123"/>
      <c r="G436" s="191"/>
      <c r="H436" s="124"/>
      <c r="I436" s="140"/>
      <c r="J436" s="76"/>
      <c r="K436" s="77"/>
      <c r="L436" s="114" t="str">
        <f t="shared" si="18"/>
        <v/>
      </c>
      <c r="M436" s="91"/>
      <c r="N436" s="38" t="str">
        <f t="shared" si="19"/>
        <v/>
      </c>
      <c r="O436" s="38" t="str">
        <f t="shared" si="20"/>
        <v/>
      </c>
      <c r="P436" s="219"/>
    </row>
    <row r="437" spans="2:16" x14ac:dyDescent="0.3">
      <c r="B437" s="74"/>
      <c r="C437" s="74"/>
      <c r="D437" s="123"/>
      <c r="E437" s="75"/>
      <c r="F437" s="123"/>
      <c r="G437" s="191"/>
      <c r="H437" s="124"/>
      <c r="I437" s="140"/>
      <c r="J437" s="76"/>
      <c r="K437" s="77"/>
      <c r="L437" s="114" t="str">
        <f t="shared" si="18"/>
        <v/>
      </c>
      <c r="M437" s="91"/>
      <c r="N437" s="38" t="str">
        <f t="shared" si="19"/>
        <v/>
      </c>
      <c r="O437" s="38" t="str">
        <f t="shared" si="20"/>
        <v/>
      </c>
      <c r="P437" s="219"/>
    </row>
    <row r="438" spans="2:16" x14ac:dyDescent="0.3">
      <c r="B438" s="74"/>
      <c r="C438" s="74"/>
      <c r="D438" s="123"/>
      <c r="E438" s="75"/>
      <c r="F438" s="123"/>
      <c r="G438" s="191"/>
      <c r="H438" s="124"/>
      <c r="I438" s="140"/>
      <c r="J438" s="76"/>
      <c r="K438" s="77"/>
      <c r="L438" s="114" t="str">
        <f t="shared" si="18"/>
        <v/>
      </c>
      <c r="M438" s="91"/>
      <c r="N438" s="38" t="str">
        <f t="shared" si="19"/>
        <v/>
      </c>
      <c r="O438" s="38" t="str">
        <f t="shared" si="20"/>
        <v/>
      </c>
      <c r="P438" s="219"/>
    </row>
    <row r="439" spans="2:16" x14ac:dyDescent="0.3">
      <c r="B439" s="74"/>
      <c r="C439" s="74"/>
      <c r="D439" s="123"/>
      <c r="E439" s="75"/>
      <c r="F439" s="123"/>
      <c r="G439" s="191"/>
      <c r="H439" s="124"/>
      <c r="I439" s="140"/>
      <c r="J439" s="76"/>
      <c r="K439" s="77"/>
      <c r="L439" s="114" t="str">
        <f t="shared" si="18"/>
        <v/>
      </c>
      <c r="M439" s="91"/>
      <c r="N439" s="38" t="str">
        <f t="shared" si="19"/>
        <v/>
      </c>
      <c r="O439" s="38" t="str">
        <f t="shared" si="20"/>
        <v/>
      </c>
      <c r="P439" s="219"/>
    </row>
    <row r="440" spans="2:16" x14ac:dyDescent="0.3">
      <c r="B440" s="74"/>
      <c r="C440" s="74"/>
      <c r="D440" s="123"/>
      <c r="E440" s="75"/>
      <c r="F440" s="123"/>
      <c r="G440" s="191"/>
      <c r="H440" s="124"/>
      <c r="I440" s="140"/>
      <c r="J440" s="76"/>
      <c r="K440" s="77"/>
      <c r="L440" s="114" t="str">
        <f t="shared" si="18"/>
        <v/>
      </c>
      <c r="M440" s="91"/>
      <c r="N440" s="38" t="str">
        <f t="shared" si="19"/>
        <v/>
      </c>
      <c r="O440" s="38" t="str">
        <f t="shared" si="20"/>
        <v/>
      </c>
      <c r="P440" s="219"/>
    </row>
    <row r="441" spans="2:16" x14ac:dyDescent="0.3">
      <c r="B441" s="74"/>
      <c r="C441" s="74"/>
      <c r="D441" s="123"/>
      <c r="E441" s="75"/>
      <c r="F441" s="123"/>
      <c r="G441" s="191"/>
      <c r="H441" s="124"/>
      <c r="I441" s="140"/>
      <c r="J441" s="76"/>
      <c r="K441" s="77"/>
      <c r="L441" s="114" t="str">
        <f t="shared" si="18"/>
        <v/>
      </c>
      <c r="M441" s="91"/>
      <c r="N441" s="38" t="str">
        <f t="shared" si="19"/>
        <v/>
      </c>
      <c r="O441" s="38" t="str">
        <f t="shared" si="20"/>
        <v/>
      </c>
      <c r="P441" s="219"/>
    </row>
    <row r="442" spans="2:16" x14ac:dyDescent="0.3">
      <c r="B442" s="74"/>
      <c r="C442" s="74"/>
      <c r="D442" s="123"/>
      <c r="E442" s="75"/>
      <c r="F442" s="123"/>
      <c r="G442" s="191"/>
      <c r="H442" s="124"/>
      <c r="I442" s="140"/>
      <c r="J442" s="76"/>
      <c r="K442" s="77"/>
      <c r="L442" s="114" t="str">
        <f t="shared" si="18"/>
        <v/>
      </c>
      <c r="M442" s="91"/>
      <c r="N442" s="38" t="str">
        <f t="shared" si="19"/>
        <v/>
      </c>
      <c r="O442" s="38" t="str">
        <f t="shared" si="20"/>
        <v/>
      </c>
      <c r="P442" s="219"/>
    </row>
    <row r="443" spans="2:16" x14ac:dyDescent="0.3">
      <c r="B443" s="74"/>
      <c r="C443" s="74"/>
      <c r="D443" s="123"/>
      <c r="E443" s="75"/>
      <c r="F443" s="123"/>
      <c r="G443" s="191"/>
      <c r="H443" s="124"/>
      <c r="I443" s="140"/>
      <c r="J443" s="76"/>
      <c r="K443" s="77"/>
      <c r="L443" s="114" t="str">
        <f t="shared" si="18"/>
        <v/>
      </c>
      <c r="M443" s="91"/>
      <c r="N443" s="38" t="str">
        <f t="shared" si="19"/>
        <v/>
      </c>
      <c r="O443" s="38" t="str">
        <f t="shared" si="20"/>
        <v/>
      </c>
      <c r="P443" s="219"/>
    </row>
    <row r="444" spans="2:16" x14ac:dyDescent="0.3">
      <c r="B444" s="74"/>
      <c r="C444" s="74"/>
      <c r="D444" s="123"/>
      <c r="E444" s="75"/>
      <c r="F444" s="123"/>
      <c r="G444" s="191"/>
      <c r="H444" s="124"/>
      <c r="I444" s="140"/>
      <c r="J444" s="76"/>
      <c r="K444" s="77"/>
      <c r="L444" s="114" t="str">
        <f t="shared" si="18"/>
        <v/>
      </c>
      <c r="M444" s="91"/>
      <c r="N444" s="38" t="str">
        <f t="shared" si="19"/>
        <v/>
      </c>
      <c r="O444" s="38" t="str">
        <f t="shared" si="20"/>
        <v/>
      </c>
      <c r="P444" s="219"/>
    </row>
    <row r="445" spans="2:16" x14ac:dyDescent="0.3">
      <c r="B445" s="74"/>
      <c r="C445" s="74"/>
      <c r="D445" s="123"/>
      <c r="E445" s="75"/>
      <c r="F445" s="123"/>
      <c r="G445" s="191"/>
      <c r="H445" s="124"/>
      <c r="I445" s="140"/>
      <c r="J445" s="76"/>
      <c r="K445" s="77"/>
      <c r="L445" s="114" t="str">
        <f t="shared" si="18"/>
        <v/>
      </c>
      <c r="M445" s="91"/>
      <c r="N445" s="38" t="str">
        <f t="shared" si="19"/>
        <v/>
      </c>
      <c r="O445" s="38" t="str">
        <f t="shared" si="20"/>
        <v/>
      </c>
      <c r="P445" s="219"/>
    </row>
    <row r="446" spans="2:16" x14ac:dyDescent="0.3">
      <c r="B446" s="74"/>
      <c r="C446" s="74"/>
      <c r="D446" s="123"/>
      <c r="E446" s="75"/>
      <c r="F446" s="123"/>
      <c r="G446" s="191"/>
      <c r="H446" s="124"/>
      <c r="I446" s="140"/>
      <c r="J446" s="76"/>
      <c r="K446" s="77"/>
      <c r="L446" s="114" t="str">
        <f t="shared" si="18"/>
        <v/>
      </c>
      <c r="M446" s="91"/>
      <c r="N446" s="38" t="str">
        <f t="shared" si="19"/>
        <v/>
      </c>
      <c r="O446" s="38" t="str">
        <f t="shared" si="20"/>
        <v/>
      </c>
      <c r="P446" s="219"/>
    </row>
    <row r="447" spans="2:16" x14ac:dyDescent="0.3">
      <c r="B447" s="74"/>
      <c r="C447" s="74"/>
      <c r="D447" s="123"/>
      <c r="E447" s="75"/>
      <c r="F447" s="123"/>
      <c r="G447" s="191"/>
      <c r="H447" s="124"/>
      <c r="I447" s="140"/>
      <c r="J447" s="76"/>
      <c r="K447" s="77"/>
      <c r="L447" s="114" t="str">
        <f t="shared" si="18"/>
        <v/>
      </c>
      <c r="M447" s="91"/>
      <c r="N447" s="38" t="str">
        <f t="shared" si="19"/>
        <v/>
      </c>
      <c r="O447" s="38" t="str">
        <f t="shared" si="20"/>
        <v/>
      </c>
      <c r="P447" s="219"/>
    </row>
    <row r="448" spans="2:16" x14ac:dyDescent="0.3">
      <c r="B448" s="74"/>
      <c r="C448" s="74"/>
      <c r="D448" s="123"/>
      <c r="E448" s="75"/>
      <c r="F448" s="123"/>
      <c r="G448" s="191"/>
      <c r="H448" s="124"/>
      <c r="I448" s="140"/>
      <c r="J448" s="76"/>
      <c r="K448" s="77"/>
      <c r="L448" s="114" t="str">
        <f t="shared" si="18"/>
        <v/>
      </c>
      <c r="M448" s="91"/>
      <c r="N448" s="38" t="str">
        <f t="shared" si="19"/>
        <v/>
      </c>
      <c r="O448" s="38" t="str">
        <f t="shared" si="20"/>
        <v/>
      </c>
      <c r="P448" s="219"/>
    </row>
    <row r="449" spans="2:16" x14ac:dyDescent="0.3">
      <c r="B449" s="74"/>
      <c r="C449" s="74"/>
      <c r="D449" s="123"/>
      <c r="E449" s="75"/>
      <c r="F449" s="123"/>
      <c r="G449" s="191"/>
      <c r="H449" s="124"/>
      <c r="I449" s="140"/>
      <c r="J449" s="76"/>
      <c r="K449" s="77"/>
      <c r="L449" s="114" t="str">
        <f t="shared" si="18"/>
        <v/>
      </c>
      <c r="M449" s="91"/>
      <c r="N449" s="38" t="str">
        <f t="shared" si="19"/>
        <v/>
      </c>
      <c r="O449" s="38" t="str">
        <f t="shared" si="20"/>
        <v/>
      </c>
      <c r="P449" s="219"/>
    </row>
    <row r="450" spans="2:16" x14ac:dyDescent="0.3">
      <c r="B450" s="74"/>
      <c r="C450" s="74"/>
      <c r="D450" s="123"/>
      <c r="E450" s="75"/>
      <c r="F450" s="123"/>
      <c r="G450" s="191"/>
      <c r="H450" s="124"/>
      <c r="I450" s="140"/>
      <c r="J450" s="76"/>
      <c r="K450" s="77"/>
      <c r="L450" s="114" t="str">
        <f t="shared" si="18"/>
        <v/>
      </c>
      <c r="M450" s="91"/>
      <c r="N450" s="38" t="str">
        <f t="shared" si="19"/>
        <v/>
      </c>
      <c r="O450" s="38" t="str">
        <f t="shared" si="20"/>
        <v/>
      </c>
      <c r="P450" s="219"/>
    </row>
    <row r="451" spans="2:16" x14ac:dyDescent="0.3">
      <c r="B451" s="74"/>
      <c r="C451" s="74"/>
      <c r="D451" s="123"/>
      <c r="E451" s="75"/>
      <c r="F451" s="123"/>
      <c r="G451" s="191"/>
      <c r="H451" s="124"/>
      <c r="I451" s="140"/>
      <c r="J451" s="76"/>
      <c r="K451" s="77"/>
      <c r="L451" s="114" t="str">
        <f t="shared" si="18"/>
        <v/>
      </c>
      <c r="M451" s="91"/>
      <c r="N451" s="38" t="str">
        <f t="shared" si="19"/>
        <v/>
      </c>
      <c r="O451" s="38" t="str">
        <f t="shared" si="20"/>
        <v/>
      </c>
      <c r="P451" s="219"/>
    </row>
    <row r="452" spans="2:16" x14ac:dyDescent="0.3">
      <c r="B452" s="74"/>
      <c r="C452" s="74"/>
      <c r="D452" s="123"/>
      <c r="E452" s="75"/>
      <c r="F452" s="123"/>
      <c r="G452" s="191"/>
      <c r="H452" s="124"/>
      <c r="I452" s="140"/>
      <c r="J452" s="76"/>
      <c r="K452" s="77"/>
      <c r="L452" s="114" t="str">
        <f t="shared" si="18"/>
        <v/>
      </c>
      <c r="M452" s="91"/>
      <c r="N452" s="38" t="str">
        <f t="shared" si="19"/>
        <v/>
      </c>
      <c r="O452" s="38" t="str">
        <f t="shared" si="20"/>
        <v/>
      </c>
      <c r="P452" s="219"/>
    </row>
    <row r="453" spans="2:16" x14ac:dyDescent="0.3">
      <c r="B453" s="74"/>
      <c r="C453" s="74"/>
      <c r="D453" s="123"/>
      <c r="E453" s="75"/>
      <c r="F453" s="123"/>
      <c r="G453" s="191"/>
      <c r="H453" s="124"/>
      <c r="I453" s="140"/>
      <c r="J453" s="76"/>
      <c r="K453" s="77"/>
      <c r="L453" s="114" t="str">
        <f t="shared" si="18"/>
        <v/>
      </c>
      <c r="M453" s="91"/>
      <c r="N453" s="38" t="str">
        <f t="shared" si="19"/>
        <v/>
      </c>
      <c r="O453" s="38" t="str">
        <f t="shared" si="20"/>
        <v/>
      </c>
      <c r="P453" s="219"/>
    </row>
    <row r="454" spans="2:16" x14ac:dyDescent="0.3">
      <c r="B454" s="74"/>
      <c r="C454" s="74"/>
      <c r="D454" s="123"/>
      <c r="E454" s="75"/>
      <c r="F454" s="123"/>
      <c r="G454" s="191"/>
      <c r="H454" s="124"/>
      <c r="I454" s="140"/>
      <c r="J454" s="76"/>
      <c r="K454" s="77"/>
      <c r="L454" s="114" t="str">
        <f t="shared" si="18"/>
        <v/>
      </c>
      <c r="M454" s="91"/>
      <c r="N454" s="38" t="str">
        <f t="shared" si="19"/>
        <v/>
      </c>
      <c r="O454" s="38" t="str">
        <f t="shared" si="20"/>
        <v/>
      </c>
      <c r="P454" s="219"/>
    </row>
    <row r="455" spans="2:16" x14ac:dyDescent="0.3">
      <c r="B455" s="74"/>
      <c r="C455" s="74"/>
      <c r="D455" s="123"/>
      <c r="E455" s="75"/>
      <c r="F455" s="123"/>
      <c r="G455" s="191"/>
      <c r="H455" s="124"/>
      <c r="I455" s="140"/>
      <c r="J455" s="76"/>
      <c r="K455" s="77"/>
      <c r="L455" s="114" t="str">
        <f t="shared" ref="L455:L501" si="21">IF(AND(OR($B455="",$C455="",$G455="",$H455="",$J455="",$K455="",AND($C455="Factuur",$J455="Openstaand",$F455="")),NOT(AND($B455="",$C455="",$G455="",$H455="",$J455="",$K455=""))),"Er ontbreken gegevens",IF(AND(NOT(ISBLANK($B455)),$O455&lt;&gt;$K$1),IF(AND($O455&lt;$K$1,$J455="Openstaand"),"Op beginbalans","Datum buiten boekjaar"),""))</f>
        <v/>
      </c>
      <c r="M455" s="91"/>
      <c r="N455" s="38" t="str">
        <f t="shared" ref="N455:N501" si="22">IFERROR(IF($B455="","",MONTH($B$6:$B$500)),0)</f>
        <v/>
      </c>
      <c r="O455" s="38" t="str">
        <f t="shared" ref="O455:O501" si="23">IFERROR(IF($B455="","",YEAR($B$6:$B$500)),0)</f>
        <v/>
      </c>
      <c r="P455" s="219"/>
    </row>
    <row r="456" spans="2:16" x14ac:dyDescent="0.3">
      <c r="B456" s="74"/>
      <c r="C456" s="74"/>
      <c r="D456" s="123"/>
      <c r="E456" s="75"/>
      <c r="F456" s="123"/>
      <c r="G456" s="191"/>
      <c r="H456" s="124"/>
      <c r="I456" s="140"/>
      <c r="J456" s="76"/>
      <c r="K456" s="77"/>
      <c r="L456" s="114" t="str">
        <f t="shared" si="21"/>
        <v/>
      </c>
      <c r="M456" s="91"/>
      <c r="N456" s="38" t="str">
        <f t="shared" si="22"/>
        <v/>
      </c>
      <c r="O456" s="38" t="str">
        <f t="shared" si="23"/>
        <v/>
      </c>
      <c r="P456" s="219"/>
    </row>
    <row r="457" spans="2:16" x14ac:dyDescent="0.3">
      <c r="B457" s="74"/>
      <c r="C457" s="74"/>
      <c r="D457" s="123"/>
      <c r="E457" s="75"/>
      <c r="F457" s="123"/>
      <c r="G457" s="191"/>
      <c r="H457" s="124"/>
      <c r="I457" s="140"/>
      <c r="J457" s="76"/>
      <c r="K457" s="77"/>
      <c r="L457" s="114" t="str">
        <f t="shared" si="21"/>
        <v/>
      </c>
      <c r="M457" s="91"/>
      <c r="N457" s="38" t="str">
        <f t="shared" si="22"/>
        <v/>
      </c>
      <c r="O457" s="38" t="str">
        <f t="shared" si="23"/>
        <v/>
      </c>
      <c r="P457" s="219"/>
    </row>
    <row r="458" spans="2:16" x14ac:dyDescent="0.3">
      <c r="B458" s="74"/>
      <c r="C458" s="74"/>
      <c r="D458" s="123"/>
      <c r="E458" s="75"/>
      <c r="F458" s="123"/>
      <c r="G458" s="191"/>
      <c r="H458" s="124"/>
      <c r="I458" s="140"/>
      <c r="J458" s="76"/>
      <c r="K458" s="77"/>
      <c r="L458" s="114" t="str">
        <f t="shared" si="21"/>
        <v/>
      </c>
      <c r="M458" s="91"/>
      <c r="N458" s="38" t="str">
        <f t="shared" si="22"/>
        <v/>
      </c>
      <c r="O458" s="38" t="str">
        <f t="shared" si="23"/>
        <v/>
      </c>
      <c r="P458" s="219"/>
    </row>
    <row r="459" spans="2:16" x14ac:dyDescent="0.3">
      <c r="B459" s="74"/>
      <c r="C459" s="74"/>
      <c r="D459" s="123"/>
      <c r="E459" s="75"/>
      <c r="F459" s="123"/>
      <c r="G459" s="191"/>
      <c r="H459" s="124"/>
      <c r="I459" s="140"/>
      <c r="J459" s="76"/>
      <c r="K459" s="77"/>
      <c r="L459" s="114" t="str">
        <f t="shared" si="21"/>
        <v/>
      </c>
      <c r="M459" s="91"/>
      <c r="N459" s="38" t="str">
        <f t="shared" si="22"/>
        <v/>
      </c>
      <c r="O459" s="38" t="str">
        <f t="shared" si="23"/>
        <v/>
      </c>
      <c r="P459" s="219"/>
    </row>
    <row r="460" spans="2:16" x14ac:dyDescent="0.3">
      <c r="B460" s="74"/>
      <c r="C460" s="74"/>
      <c r="D460" s="123"/>
      <c r="E460" s="75"/>
      <c r="F460" s="123"/>
      <c r="G460" s="191"/>
      <c r="H460" s="124"/>
      <c r="I460" s="140"/>
      <c r="J460" s="76"/>
      <c r="K460" s="77"/>
      <c r="L460" s="114" t="str">
        <f t="shared" si="21"/>
        <v/>
      </c>
      <c r="M460" s="91"/>
      <c r="N460" s="38" t="str">
        <f t="shared" si="22"/>
        <v/>
      </c>
      <c r="O460" s="38" t="str">
        <f t="shared" si="23"/>
        <v/>
      </c>
      <c r="P460" s="219"/>
    </row>
    <row r="461" spans="2:16" x14ac:dyDescent="0.3">
      <c r="B461" s="74"/>
      <c r="C461" s="74"/>
      <c r="D461" s="123"/>
      <c r="E461" s="75"/>
      <c r="F461" s="123"/>
      <c r="G461" s="191"/>
      <c r="H461" s="124"/>
      <c r="I461" s="140"/>
      <c r="J461" s="76"/>
      <c r="K461" s="77"/>
      <c r="L461" s="114" t="str">
        <f t="shared" si="21"/>
        <v/>
      </c>
      <c r="M461" s="91"/>
      <c r="N461" s="38" t="str">
        <f t="shared" si="22"/>
        <v/>
      </c>
      <c r="O461" s="38" t="str">
        <f t="shared" si="23"/>
        <v/>
      </c>
      <c r="P461" s="219"/>
    </row>
    <row r="462" spans="2:16" x14ac:dyDescent="0.3">
      <c r="B462" s="74"/>
      <c r="C462" s="74"/>
      <c r="D462" s="123"/>
      <c r="E462" s="75"/>
      <c r="F462" s="123"/>
      <c r="G462" s="191"/>
      <c r="H462" s="124"/>
      <c r="I462" s="140"/>
      <c r="J462" s="76"/>
      <c r="K462" s="77"/>
      <c r="L462" s="114" t="str">
        <f t="shared" si="21"/>
        <v/>
      </c>
      <c r="M462" s="91"/>
      <c r="N462" s="38" t="str">
        <f t="shared" si="22"/>
        <v/>
      </c>
      <c r="O462" s="38" t="str">
        <f t="shared" si="23"/>
        <v/>
      </c>
      <c r="P462" s="219"/>
    </row>
    <row r="463" spans="2:16" x14ac:dyDescent="0.3">
      <c r="B463" s="74"/>
      <c r="C463" s="74"/>
      <c r="D463" s="123"/>
      <c r="E463" s="75"/>
      <c r="F463" s="123"/>
      <c r="G463" s="191"/>
      <c r="H463" s="124"/>
      <c r="I463" s="140"/>
      <c r="J463" s="76"/>
      <c r="K463" s="77"/>
      <c r="L463" s="114" t="str">
        <f t="shared" si="21"/>
        <v/>
      </c>
      <c r="M463" s="91"/>
      <c r="N463" s="38" t="str">
        <f t="shared" si="22"/>
        <v/>
      </c>
      <c r="O463" s="38" t="str">
        <f t="shared" si="23"/>
        <v/>
      </c>
      <c r="P463" s="219"/>
    </row>
    <row r="464" spans="2:16" x14ac:dyDescent="0.3">
      <c r="B464" s="74"/>
      <c r="C464" s="74"/>
      <c r="D464" s="123"/>
      <c r="E464" s="75"/>
      <c r="F464" s="123"/>
      <c r="G464" s="191"/>
      <c r="H464" s="124"/>
      <c r="I464" s="140"/>
      <c r="J464" s="76"/>
      <c r="K464" s="77"/>
      <c r="L464" s="114" t="str">
        <f t="shared" si="21"/>
        <v/>
      </c>
      <c r="M464" s="91"/>
      <c r="N464" s="38" t="str">
        <f t="shared" si="22"/>
        <v/>
      </c>
      <c r="O464" s="38" t="str">
        <f t="shared" si="23"/>
        <v/>
      </c>
      <c r="P464" s="219"/>
    </row>
    <row r="465" spans="2:16" x14ac:dyDescent="0.3">
      <c r="B465" s="74"/>
      <c r="C465" s="74"/>
      <c r="D465" s="123"/>
      <c r="E465" s="75"/>
      <c r="F465" s="123"/>
      <c r="G465" s="191"/>
      <c r="H465" s="124"/>
      <c r="I465" s="140"/>
      <c r="J465" s="76"/>
      <c r="K465" s="77"/>
      <c r="L465" s="114" t="str">
        <f t="shared" si="21"/>
        <v/>
      </c>
      <c r="M465" s="91"/>
      <c r="N465" s="38" t="str">
        <f t="shared" si="22"/>
        <v/>
      </c>
      <c r="O465" s="38" t="str">
        <f t="shared" si="23"/>
        <v/>
      </c>
      <c r="P465" s="219"/>
    </row>
    <row r="466" spans="2:16" x14ac:dyDescent="0.3">
      <c r="B466" s="74"/>
      <c r="C466" s="74"/>
      <c r="D466" s="123"/>
      <c r="E466" s="75"/>
      <c r="F466" s="123"/>
      <c r="G466" s="191"/>
      <c r="H466" s="124"/>
      <c r="I466" s="140"/>
      <c r="J466" s="76"/>
      <c r="K466" s="77"/>
      <c r="L466" s="114" t="str">
        <f t="shared" si="21"/>
        <v/>
      </c>
      <c r="M466" s="91"/>
      <c r="N466" s="38" t="str">
        <f t="shared" si="22"/>
        <v/>
      </c>
      <c r="O466" s="38" t="str">
        <f t="shared" si="23"/>
        <v/>
      </c>
      <c r="P466" s="219"/>
    </row>
    <row r="467" spans="2:16" x14ac:dyDescent="0.3">
      <c r="B467" s="74"/>
      <c r="C467" s="74"/>
      <c r="D467" s="123"/>
      <c r="E467" s="75"/>
      <c r="F467" s="123"/>
      <c r="G467" s="191"/>
      <c r="H467" s="124"/>
      <c r="I467" s="140"/>
      <c r="J467" s="76"/>
      <c r="K467" s="77"/>
      <c r="L467" s="114" t="str">
        <f t="shared" si="21"/>
        <v/>
      </c>
      <c r="M467" s="91"/>
      <c r="N467" s="38" t="str">
        <f t="shared" si="22"/>
        <v/>
      </c>
      <c r="O467" s="38" t="str">
        <f t="shared" si="23"/>
        <v/>
      </c>
      <c r="P467" s="219"/>
    </row>
    <row r="468" spans="2:16" x14ac:dyDescent="0.3">
      <c r="B468" s="74"/>
      <c r="C468" s="74"/>
      <c r="D468" s="123"/>
      <c r="E468" s="75"/>
      <c r="F468" s="123"/>
      <c r="G468" s="191"/>
      <c r="H468" s="124"/>
      <c r="I468" s="140"/>
      <c r="J468" s="76"/>
      <c r="K468" s="77"/>
      <c r="L468" s="114" t="str">
        <f t="shared" si="21"/>
        <v/>
      </c>
      <c r="M468" s="91"/>
      <c r="N468" s="38" t="str">
        <f t="shared" si="22"/>
        <v/>
      </c>
      <c r="O468" s="38" t="str">
        <f t="shared" si="23"/>
        <v/>
      </c>
      <c r="P468" s="219"/>
    </row>
    <row r="469" spans="2:16" x14ac:dyDescent="0.3">
      <c r="B469" s="74"/>
      <c r="C469" s="74"/>
      <c r="D469" s="123"/>
      <c r="E469" s="75"/>
      <c r="F469" s="123"/>
      <c r="G469" s="191"/>
      <c r="H469" s="124"/>
      <c r="I469" s="140"/>
      <c r="J469" s="76"/>
      <c r="K469" s="77"/>
      <c r="L469" s="114" t="str">
        <f t="shared" si="21"/>
        <v/>
      </c>
      <c r="M469" s="91"/>
      <c r="N469" s="38" t="str">
        <f t="shared" si="22"/>
        <v/>
      </c>
      <c r="O469" s="38" t="str">
        <f t="shared" si="23"/>
        <v/>
      </c>
      <c r="P469" s="219"/>
    </row>
    <row r="470" spans="2:16" x14ac:dyDescent="0.3">
      <c r="B470" s="74"/>
      <c r="C470" s="74"/>
      <c r="D470" s="123"/>
      <c r="E470" s="75"/>
      <c r="F470" s="123"/>
      <c r="G470" s="191"/>
      <c r="H470" s="124"/>
      <c r="I470" s="140"/>
      <c r="J470" s="76"/>
      <c r="K470" s="77"/>
      <c r="L470" s="114" t="str">
        <f t="shared" si="21"/>
        <v/>
      </c>
      <c r="M470" s="91"/>
      <c r="N470" s="38" t="str">
        <f t="shared" si="22"/>
        <v/>
      </c>
      <c r="O470" s="38" t="str">
        <f t="shared" si="23"/>
        <v/>
      </c>
      <c r="P470" s="219"/>
    </row>
    <row r="471" spans="2:16" x14ac:dyDescent="0.3">
      <c r="B471" s="74"/>
      <c r="C471" s="74"/>
      <c r="D471" s="123"/>
      <c r="E471" s="75"/>
      <c r="F471" s="123"/>
      <c r="G471" s="191"/>
      <c r="H471" s="124"/>
      <c r="I471" s="140"/>
      <c r="J471" s="76"/>
      <c r="K471" s="77"/>
      <c r="L471" s="114" t="str">
        <f t="shared" si="21"/>
        <v/>
      </c>
      <c r="M471" s="91"/>
      <c r="N471" s="38" t="str">
        <f t="shared" si="22"/>
        <v/>
      </c>
      <c r="O471" s="38" t="str">
        <f t="shared" si="23"/>
        <v/>
      </c>
      <c r="P471" s="219"/>
    </row>
    <row r="472" spans="2:16" x14ac:dyDescent="0.3">
      <c r="B472" s="74"/>
      <c r="C472" s="74"/>
      <c r="D472" s="123"/>
      <c r="E472" s="75"/>
      <c r="F472" s="123"/>
      <c r="G472" s="191"/>
      <c r="H472" s="124"/>
      <c r="I472" s="140"/>
      <c r="J472" s="76"/>
      <c r="K472" s="77"/>
      <c r="L472" s="114" t="str">
        <f t="shared" si="21"/>
        <v/>
      </c>
      <c r="M472" s="91"/>
      <c r="N472" s="38" t="str">
        <f t="shared" si="22"/>
        <v/>
      </c>
      <c r="O472" s="38" t="str">
        <f t="shared" si="23"/>
        <v/>
      </c>
      <c r="P472" s="219"/>
    </row>
    <row r="473" spans="2:16" x14ac:dyDescent="0.3">
      <c r="B473" s="74"/>
      <c r="C473" s="74"/>
      <c r="D473" s="123"/>
      <c r="E473" s="75"/>
      <c r="F473" s="123"/>
      <c r="G473" s="191"/>
      <c r="H473" s="124"/>
      <c r="I473" s="140"/>
      <c r="J473" s="76"/>
      <c r="K473" s="77"/>
      <c r="L473" s="114" t="str">
        <f t="shared" si="21"/>
        <v/>
      </c>
      <c r="M473" s="91"/>
      <c r="N473" s="38" t="str">
        <f t="shared" si="22"/>
        <v/>
      </c>
      <c r="O473" s="38" t="str">
        <f t="shared" si="23"/>
        <v/>
      </c>
      <c r="P473" s="219"/>
    </row>
    <row r="474" spans="2:16" x14ac:dyDescent="0.3">
      <c r="B474" s="74"/>
      <c r="C474" s="74"/>
      <c r="D474" s="123"/>
      <c r="E474" s="75"/>
      <c r="F474" s="123"/>
      <c r="G474" s="191"/>
      <c r="H474" s="124"/>
      <c r="I474" s="140"/>
      <c r="J474" s="76"/>
      <c r="K474" s="77"/>
      <c r="L474" s="114" t="str">
        <f t="shared" si="21"/>
        <v/>
      </c>
      <c r="M474" s="91"/>
      <c r="N474" s="38" t="str">
        <f t="shared" si="22"/>
        <v/>
      </c>
      <c r="O474" s="38" t="str">
        <f t="shared" si="23"/>
        <v/>
      </c>
      <c r="P474" s="219"/>
    </row>
    <row r="475" spans="2:16" x14ac:dyDescent="0.3">
      <c r="B475" s="74"/>
      <c r="C475" s="74"/>
      <c r="D475" s="123"/>
      <c r="E475" s="75"/>
      <c r="F475" s="123"/>
      <c r="G475" s="191"/>
      <c r="H475" s="124"/>
      <c r="I475" s="140"/>
      <c r="J475" s="76"/>
      <c r="K475" s="77"/>
      <c r="L475" s="114" t="str">
        <f t="shared" si="21"/>
        <v/>
      </c>
      <c r="M475" s="91"/>
      <c r="N475" s="38" t="str">
        <f t="shared" si="22"/>
        <v/>
      </c>
      <c r="O475" s="38" t="str">
        <f t="shared" si="23"/>
        <v/>
      </c>
      <c r="P475" s="219"/>
    </row>
    <row r="476" spans="2:16" x14ac:dyDescent="0.3">
      <c r="B476" s="74"/>
      <c r="C476" s="74"/>
      <c r="D476" s="123"/>
      <c r="E476" s="75"/>
      <c r="F476" s="123"/>
      <c r="G476" s="191"/>
      <c r="H476" s="124"/>
      <c r="I476" s="140"/>
      <c r="J476" s="76"/>
      <c r="K476" s="77"/>
      <c r="L476" s="114" t="str">
        <f t="shared" si="21"/>
        <v/>
      </c>
      <c r="M476" s="91"/>
      <c r="N476" s="38" t="str">
        <f t="shared" si="22"/>
        <v/>
      </c>
      <c r="O476" s="38" t="str">
        <f t="shared" si="23"/>
        <v/>
      </c>
      <c r="P476" s="219"/>
    </row>
    <row r="477" spans="2:16" x14ac:dyDescent="0.3">
      <c r="B477" s="74"/>
      <c r="C477" s="74"/>
      <c r="D477" s="123"/>
      <c r="E477" s="75"/>
      <c r="F477" s="123"/>
      <c r="G477" s="191"/>
      <c r="H477" s="124"/>
      <c r="I477" s="140"/>
      <c r="J477" s="76"/>
      <c r="K477" s="77"/>
      <c r="L477" s="114" t="str">
        <f t="shared" si="21"/>
        <v/>
      </c>
      <c r="M477" s="91"/>
      <c r="N477" s="38" t="str">
        <f t="shared" si="22"/>
        <v/>
      </c>
      <c r="O477" s="38" t="str">
        <f t="shared" si="23"/>
        <v/>
      </c>
      <c r="P477" s="219"/>
    </row>
    <row r="478" spans="2:16" x14ac:dyDescent="0.3">
      <c r="B478" s="74"/>
      <c r="C478" s="74"/>
      <c r="D478" s="123"/>
      <c r="E478" s="75"/>
      <c r="F478" s="123"/>
      <c r="G478" s="191"/>
      <c r="H478" s="124"/>
      <c r="I478" s="140"/>
      <c r="J478" s="76"/>
      <c r="K478" s="77"/>
      <c r="L478" s="114" t="str">
        <f t="shared" si="21"/>
        <v/>
      </c>
      <c r="M478" s="91"/>
      <c r="N478" s="38" t="str">
        <f t="shared" si="22"/>
        <v/>
      </c>
      <c r="O478" s="38" t="str">
        <f t="shared" si="23"/>
        <v/>
      </c>
      <c r="P478" s="219"/>
    </row>
    <row r="479" spans="2:16" x14ac:dyDescent="0.3">
      <c r="B479" s="74"/>
      <c r="C479" s="74"/>
      <c r="D479" s="123"/>
      <c r="E479" s="75"/>
      <c r="F479" s="123"/>
      <c r="G479" s="191"/>
      <c r="H479" s="124"/>
      <c r="I479" s="140"/>
      <c r="J479" s="76"/>
      <c r="K479" s="77"/>
      <c r="L479" s="114" t="str">
        <f t="shared" si="21"/>
        <v/>
      </c>
      <c r="M479" s="91"/>
      <c r="N479" s="38" t="str">
        <f t="shared" si="22"/>
        <v/>
      </c>
      <c r="O479" s="38" t="str">
        <f t="shared" si="23"/>
        <v/>
      </c>
      <c r="P479" s="219"/>
    </row>
    <row r="480" spans="2:16" x14ac:dyDescent="0.3">
      <c r="B480" s="74"/>
      <c r="C480" s="74"/>
      <c r="D480" s="123"/>
      <c r="E480" s="75"/>
      <c r="F480" s="123"/>
      <c r="G480" s="191"/>
      <c r="H480" s="124"/>
      <c r="I480" s="140"/>
      <c r="J480" s="76"/>
      <c r="K480" s="77"/>
      <c r="L480" s="114" t="str">
        <f t="shared" si="21"/>
        <v/>
      </c>
      <c r="M480" s="91"/>
      <c r="N480" s="38" t="str">
        <f t="shared" si="22"/>
        <v/>
      </c>
      <c r="O480" s="38" t="str">
        <f t="shared" si="23"/>
        <v/>
      </c>
      <c r="P480" s="219"/>
    </row>
    <row r="481" spans="2:16" x14ac:dyDescent="0.3">
      <c r="B481" s="74"/>
      <c r="C481" s="74"/>
      <c r="D481" s="123"/>
      <c r="E481" s="75"/>
      <c r="F481" s="123"/>
      <c r="G481" s="191"/>
      <c r="H481" s="124"/>
      <c r="I481" s="140"/>
      <c r="J481" s="76"/>
      <c r="K481" s="77"/>
      <c r="L481" s="114" t="str">
        <f t="shared" si="21"/>
        <v/>
      </c>
      <c r="M481" s="91"/>
      <c r="N481" s="38" t="str">
        <f t="shared" si="22"/>
        <v/>
      </c>
      <c r="O481" s="38" t="str">
        <f t="shared" si="23"/>
        <v/>
      </c>
      <c r="P481" s="219"/>
    </row>
    <row r="482" spans="2:16" x14ac:dyDescent="0.3">
      <c r="B482" s="74"/>
      <c r="C482" s="74"/>
      <c r="D482" s="123"/>
      <c r="E482" s="75"/>
      <c r="F482" s="123"/>
      <c r="G482" s="191"/>
      <c r="H482" s="124"/>
      <c r="I482" s="140"/>
      <c r="J482" s="76"/>
      <c r="K482" s="77"/>
      <c r="L482" s="114" t="str">
        <f t="shared" si="21"/>
        <v/>
      </c>
      <c r="M482" s="91"/>
      <c r="N482" s="38" t="str">
        <f t="shared" si="22"/>
        <v/>
      </c>
      <c r="O482" s="38" t="str">
        <f t="shared" si="23"/>
        <v/>
      </c>
      <c r="P482" s="219"/>
    </row>
    <row r="483" spans="2:16" x14ac:dyDescent="0.3">
      <c r="B483" s="74"/>
      <c r="C483" s="74"/>
      <c r="D483" s="123"/>
      <c r="E483" s="75"/>
      <c r="F483" s="123"/>
      <c r="G483" s="191"/>
      <c r="H483" s="124"/>
      <c r="I483" s="140"/>
      <c r="J483" s="76"/>
      <c r="K483" s="77"/>
      <c r="L483" s="114" t="str">
        <f t="shared" si="21"/>
        <v/>
      </c>
      <c r="M483" s="91"/>
      <c r="N483" s="38" t="str">
        <f t="shared" si="22"/>
        <v/>
      </c>
      <c r="O483" s="38" t="str">
        <f t="shared" si="23"/>
        <v/>
      </c>
      <c r="P483" s="219"/>
    </row>
    <row r="484" spans="2:16" x14ac:dyDescent="0.3">
      <c r="B484" s="74"/>
      <c r="C484" s="74"/>
      <c r="D484" s="123"/>
      <c r="E484" s="75"/>
      <c r="F484" s="123"/>
      <c r="G484" s="191"/>
      <c r="H484" s="124"/>
      <c r="I484" s="140"/>
      <c r="J484" s="76"/>
      <c r="K484" s="77"/>
      <c r="L484" s="114" t="str">
        <f t="shared" si="21"/>
        <v/>
      </c>
      <c r="M484" s="91"/>
      <c r="N484" s="38" t="str">
        <f t="shared" si="22"/>
        <v/>
      </c>
      <c r="O484" s="38" t="str">
        <f t="shared" si="23"/>
        <v/>
      </c>
      <c r="P484" s="219"/>
    </row>
    <row r="485" spans="2:16" x14ac:dyDescent="0.3">
      <c r="B485" s="74"/>
      <c r="C485" s="74"/>
      <c r="D485" s="123"/>
      <c r="E485" s="75"/>
      <c r="F485" s="123"/>
      <c r="G485" s="191"/>
      <c r="H485" s="124"/>
      <c r="I485" s="140"/>
      <c r="J485" s="76"/>
      <c r="K485" s="77"/>
      <c r="L485" s="114" t="str">
        <f t="shared" si="21"/>
        <v/>
      </c>
      <c r="M485" s="91"/>
      <c r="N485" s="38" t="str">
        <f t="shared" si="22"/>
        <v/>
      </c>
      <c r="O485" s="38" t="str">
        <f t="shared" si="23"/>
        <v/>
      </c>
      <c r="P485" s="219"/>
    </row>
    <row r="486" spans="2:16" x14ac:dyDescent="0.3">
      <c r="B486" s="74"/>
      <c r="C486" s="74"/>
      <c r="D486" s="123"/>
      <c r="E486" s="75"/>
      <c r="F486" s="123"/>
      <c r="G486" s="191"/>
      <c r="H486" s="124"/>
      <c r="I486" s="140"/>
      <c r="J486" s="76"/>
      <c r="K486" s="77"/>
      <c r="L486" s="114" t="str">
        <f t="shared" si="21"/>
        <v/>
      </c>
      <c r="M486" s="91"/>
      <c r="N486" s="38" t="str">
        <f t="shared" si="22"/>
        <v/>
      </c>
      <c r="O486" s="38" t="str">
        <f t="shared" si="23"/>
        <v/>
      </c>
      <c r="P486" s="219"/>
    </row>
    <row r="487" spans="2:16" x14ac:dyDescent="0.3">
      <c r="B487" s="74"/>
      <c r="C487" s="74"/>
      <c r="D487" s="123"/>
      <c r="E487" s="75"/>
      <c r="F487" s="123"/>
      <c r="G487" s="191"/>
      <c r="H487" s="124"/>
      <c r="I487" s="140"/>
      <c r="J487" s="76"/>
      <c r="K487" s="77"/>
      <c r="L487" s="114" t="str">
        <f t="shared" si="21"/>
        <v/>
      </c>
      <c r="M487" s="91"/>
      <c r="N487" s="38" t="str">
        <f t="shared" si="22"/>
        <v/>
      </c>
      <c r="O487" s="38" t="str">
        <f t="shared" si="23"/>
        <v/>
      </c>
      <c r="P487" s="219"/>
    </row>
    <row r="488" spans="2:16" x14ac:dyDescent="0.3">
      <c r="B488" s="74"/>
      <c r="C488" s="74"/>
      <c r="D488" s="123"/>
      <c r="E488" s="75"/>
      <c r="F488" s="123"/>
      <c r="G488" s="191"/>
      <c r="H488" s="124"/>
      <c r="I488" s="140"/>
      <c r="J488" s="76"/>
      <c r="K488" s="77"/>
      <c r="L488" s="114" t="str">
        <f t="shared" si="21"/>
        <v/>
      </c>
      <c r="M488" s="91"/>
      <c r="N488" s="38" t="str">
        <f t="shared" si="22"/>
        <v/>
      </c>
      <c r="O488" s="38" t="str">
        <f t="shared" si="23"/>
        <v/>
      </c>
      <c r="P488" s="219"/>
    </row>
    <row r="489" spans="2:16" x14ac:dyDescent="0.3">
      <c r="B489" s="74"/>
      <c r="C489" s="74"/>
      <c r="D489" s="123"/>
      <c r="E489" s="75"/>
      <c r="F489" s="123"/>
      <c r="G489" s="191"/>
      <c r="H489" s="124"/>
      <c r="I489" s="140"/>
      <c r="J489" s="76"/>
      <c r="K489" s="77"/>
      <c r="L489" s="114" t="str">
        <f t="shared" si="21"/>
        <v/>
      </c>
      <c r="M489" s="91"/>
      <c r="N489" s="38" t="str">
        <f t="shared" si="22"/>
        <v/>
      </c>
      <c r="O489" s="38" t="str">
        <f t="shared" si="23"/>
        <v/>
      </c>
      <c r="P489" s="219"/>
    </row>
    <row r="490" spans="2:16" x14ac:dyDescent="0.3">
      <c r="B490" s="74"/>
      <c r="C490" s="74"/>
      <c r="D490" s="123"/>
      <c r="E490" s="75"/>
      <c r="F490" s="123"/>
      <c r="G490" s="191"/>
      <c r="H490" s="124"/>
      <c r="I490" s="140"/>
      <c r="J490" s="76"/>
      <c r="K490" s="77"/>
      <c r="L490" s="114" t="str">
        <f t="shared" si="21"/>
        <v/>
      </c>
      <c r="M490" s="91"/>
      <c r="N490" s="38" t="str">
        <f t="shared" si="22"/>
        <v/>
      </c>
      <c r="O490" s="38" t="str">
        <f t="shared" si="23"/>
        <v/>
      </c>
      <c r="P490" s="219"/>
    </row>
    <row r="491" spans="2:16" x14ac:dyDescent="0.3">
      <c r="B491" s="74"/>
      <c r="C491" s="74"/>
      <c r="D491" s="123"/>
      <c r="E491" s="75"/>
      <c r="F491" s="123"/>
      <c r="G491" s="191"/>
      <c r="H491" s="124"/>
      <c r="I491" s="140"/>
      <c r="J491" s="76"/>
      <c r="K491" s="77"/>
      <c r="L491" s="114" t="str">
        <f t="shared" si="21"/>
        <v/>
      </c>
      <c r="M491" s="91"/>
      <c r="N491" s="38" t="str">
        <f t="shared" si="22"/>
        <v/>
      </c>
      <c r="O491" s="38" t="str">
        <f t="shared" si="23"/>
        <v/>
      </c>
      <c r="P491" s="219"/>
    </row>
    <row r="492" spans="2:16" x14ac:dyDescent="0.3">
      <c r="B492" s="74"/>
      <c r="C492" s="74"/>
      <c r="D492" s="123"/>
      <c r="E492" s="75"/>
      <c r="F492" s="123"/>
      <c r="G492" s="191"/>
      <c r="H492" s="124"/>
      <c r="I492" s="140"/>
      <c r="J492" s="76"/>
      <c r="K492" s="77"/>
      <c r="L492" s="114" t="str">
        <f t="shared" si="21"/>
        <v/>
      </c>
      <c r="M492" s="91"/>
      <c r="N492" s="38" t="str">
        <f t="shared" si="22"/>
        <v/>
      </c>
      <c r="O492" s="38" t="str">
        <f t="shared" si="23"/>
        <v/>
      </c>
      <c r="P492" s="219"/>
    </row>
    <row r="493" spans="2:16" x14ac:dyDescent="0.3">
      <c r="B493" s="74"/>
      <c r="C493" s="74"/>
      <c r="D493" s="123"/>
      <c r="E493" s="75"/>
      <c r="F493" s="123"/>
      <c r="G493" s="191"/>
      <c r="H493" s="124"/>
      <c r="I493" s="140"/>
      <c r="J493" s="76"/>
      <c r="K493" s="77"/>
      <c r="L493" s="114" t="str">
        <f t="shared" si="21"/>
        <v/>
      </c>
      <c r="M493" s="91"/>
      <c r="N493" s="38" t="str">
        <f t="shared" si="22"/>
        <v/>
      </c>
      <c r="O493" s="38" t="str">
        <f t="shared" si="23"/>
        <v/>
      </c>
      <c r="P493" s="219"/>
    </row>
    <row r="494" spans="2:16" x14ac:dyDescent="0.3">
      <c r="B494" s="74"/>
      <c r="C494" s="74"/>
      <c r="D494" s="123"/>
      <c r="E494" s="75"/>
      <c r="F494" s="123"/>
      <c r="G494" s="191"/>
      <c r="H494" s="124"/>
      <c r="I494" s="140"/>
      <c r="J494" s="76"/>
      <c r="K494" s="77"/>
      <c r="L494" s="114" t="str">
        <f t="shared" si="21"/>
        <v/>
      </c>
      <c r="M494" s="91"/>
      <c r="N494" s="38" t="str">
        <f t="shared" si="22"/>
        <v/>
      </c>
      <c r="O494" s="38" t="str">
        <f t="shared" si="23"/>
        <v/>
      </c>
      <c r="P494" s="219"/>
    </row>
    <row r="495" spans="2:16" x14ac:dyDescent="0.3">
      <c r="B495" s="74"/>
      <c r="C495" s="74"/>
      <c r="D495" s="123"/>
      <c r="E495" s="75"/>
      <c r="F495" s="123"/>
      <c r="G495" s="191"/>
      <c r="H495" s="124"/>
      <c r="I495" s="140"/>
      <c r="J495" s="76"/>
      <c r="K495" s="77"/>
      <c r="L495" s="114" t="str">
        <f t="shared" si="21"/>
        <v/>
      </c>
      <c r="M495" s="91"/>
      <c r="N495" s="38" t="str">
        <f t="shared" si="22"/>
        <v/>
      </c>
      <c r="O495" s="38" t="str">
        <f t="shared" si="23"/>
        <v/>
      </c>
      <c r="P495" s="219"/>
    </row>
    <row r="496" spans="2:16" x14ac:dyDescent="0.3">
      <c r="B496" s="74"/>
      <c r="C496" s="74"/>
      <c r="D496" s="123"/>
      <c r="E496" s="75"/>
      <c r="F496" s="123"/>
      <c r="G496" s="191"/>
      <c r="H496" s="124"/>
      <c r="I496" s="140"/>
      <c r="J496" s="76"/>
      <c r="K496" s="77"/>
      <c r="L496" s="114" t="str">
        <f t="shared" si="21"/>
        <v/>
      </c>
      <c r="M496" s="91"/>
      <c r="N496" s="38" t="str">
        <f t="shared" si="22"/>
        <v/>
      </c>
      <c r="O496" s="38" t="str">
        <f t="shared" si="23"/>
        <v/>
      </c>
      <c r="P496" s="219"/>
    </row>
    <row r="497" spans="2:16" x14ac:dyDescent="0.3">
      <c r="B497" s="74"/>
      <c r="C497" s="74"/>
      <c r="D497" s="123"/>
      <c r="E497" s="75"/>
      <c r="F497" s="123"/>
      <c r="G497" s="191"/>
      <c r="H497" s="124"/>
      <c r="I497" s="140"/>
      <c r="J497" s="76"/>
      <c r="K497" s="77"/>
      <c r="L497" s="114" t="str">
        <f t="shared" si="21"/>
        <v/>
      </c>
      <c r="M497" s="91"/>
      <c r="N497" s="38" t="str">
        <f t="shared" si="22"/>
        <v/>
      </c>
      <c r="O497" s="38" t="str">
        <f t="shared" si="23"/>
        <v/>
      </c>
      <c r="P497" s="219"/>
    </row>
    <row r="498" spans="2:16" x14ac:dyDescent="0.3">
      <c r="B498" s="74"/>
      <c r="C498" s="74"/>
      <c r="D498" s="123"/>
      <c r="E498" s="75"/>
      <c r="F498" s="123"/>
      <c r="G498" s="191"/>
      <c r="H498" s="124"/>
      <c r="I498" s="140"/>
      <c r="J498" s="76"/>
      <c r="K498" s="77"/>
      <c r="L498" s="114" t="str">
        <f t="shared" si="21"/>
        <v/>
      </c>
      <c r="M498" s="91"/>
      <c r="N498" s="38" t="str">
        <f t="shared" si="22"/>
        <v/>
      </c>
      <c r="O498" s="38" t="str">
        <f t="shared" si="23"/>
        <v/>
      </c>
      <c r="P498" s="219"/>
    </row>
    <row r="499" spans="2:16" x14ac:dyDescent="0.3">
      <c r="B499" s="74"/>
      <c r="C499" s="74"/>
      <c r="D499" s="123"/>
      <c r="E499" s="75"/>
      <c r="F499" s="123"/>
      <c r="G499" s="191"/>
      <c r="H499" s="124"/>
      <c r="I499" s="140"/>
      <c r="J499" s="76"/>
      <c r="K499" s="77"/>
      <c r="L499" s="114" t="str">
        <f t="shared" si="21"/>
        <v/>
      </c>
      <c r="M499" s="91"/>
      <c r="N499" s="38" t="str">
        <f t="shared" si="22"/>
        <v/>
      </c>
      <c r="O499" s="38" t="str">
        <f t="shared" si="23"/>
        <v/>
      </c>
      <c r="P499" s="219"/>
    </row>
    <row r="500" spans="2:16" x14ac:dyDescent="0.3">
      <c r="B500" s="74"/>
      <c r="C500" s="74"/>
      <c r="D500" s="123"/>
      <c r="E500" s="75"/>
      <c r="F500" s="123"/>
      <c r="G500" s="191"/>
      <c r="H500" s="124"/>
      <c r="I500" s="140"/>
      <c r="J500" s="76"/>
      <c r="K500" s="77"/>
      <c r="L500" s="114" t="str">
        <f t="shared" si="21"/>
        <v/>
      </c>
      <c r="M500" s="91"/>
      <c r="N500" s="38" t="str">
        <f t="shared" si="22"/>
        <v/>
      </c>
      <c r="O500" s="38" t="str">
        <f t="shared" si="23"/>
        <v/>
      </c>
      <c r="P500" s="219"/>
    </row>
    <row r="501" spans="2:16" x14ac:dyDescent="0.3">
      <c r="B501" s="74"/>
      <c r="C501" s="74"/>
      <c r="D501" s="123"/>
      <c r="E501" s="75"/>
      <c r="F501" s="123"/>
      <c r="G501" s="191"/>
      <c r="H501" s="124"/>
      <c r="I501" s="140"/>
      <c r="J501" s="76"/>
      <c r="K501" s="77"/>
      <c r="L501" s="114" t="str">
        <f t="shared" si="21"/>
        <v/>
      </c>
      <c r="M501" s="91"/>
      <c r="N501" s="38" t="str">
        <f t="shared" si="22"/>
        <v/>
      </c>
      <c r="O501" s="38" t="str">
        <f t="shared" si="23"/>
        <v/>
      </c>
      <c r="P501" s="219"/>
    </row>
    <row r="502" spans="2:16" x14ac:dyDescent="0.3">
      <c r="G502" s="9" t="str">
        <f t="shared" ref="G502:G518" si="24">IF(F502="","",F502*0.21)</f>
        <v/>
      </c>
    </row>
    <row r="503" spans="2:16" x14ac:dyDescent="0.3">
      <c r="G503" s="9" t="str">
        <f t="shared" si="24"/>
        <v/>
      </c>
    </row>
    <row r="504" spans="2:16" x14ac:dyDescent="0.3">
      <c r="G504" s="9" t="str">
        <f t="shared" si="24"/>
        <v/>
      </c>
    </row>
    <row r="505" spans="2:16" x14ac:dyDescent="0.3">
      <c r="G505" s="9" t="str">
        <f t="shared" si="24"/>
        <v/>
      </c>
    </row>
    <row r="506" spans="2:16" x14ac:dyDescent="0.3">
      <c r="G506" s="9" t="str">
        <f t="shared" si="24"/>
        <v/>
      </c>
    </row>
    <row r="507" spans="2:16" x14ac:dyDescent="0.3">
      <c r="G507" s="9" t="str">
        <f t="shared" si="24"/>
        <v/>
      </c>
    </row>
    <row r="508" spans="2:16" x14ac:dyDescent="0.3">
      <c r="G508" s="9" t="str">
        <f t="shared" si="24"/>
        <v/>
      </c>
    </row>
    <row r="509" spans="2:16" x14ac:dyDescent="0.3">
      <c r="G509" s="9" t="str">
        <f t="shared" si="24"/>
        <v/>
      </c>
    </row>
    <row r="510" spans="2:16" x14ac:dyDescent="0.3">
      <c r="G510" s="9" t="str">
        <f t="shared" si="24"/>
        <v/>
      </c>
    </row>
    <row r="511" spans="2:16" x14ac:dyDescent="0.3">
      <c r="G511" s="9" t="str">
        <f t="shared" si="24"/>
        <v/>
      </c>
    </row>
    <row r="512" spans="2:16" x14ac:dyDescent="0.3">
      <c r="G512" s="9" t="str">
        <f t="shared" si="24"/>
        <v/>
      </c>
    </row>
    <row r="513" spans="7:7" x14ac:dyDescent="0.3">
      <c r="G513" s="9" t="str">
        <f t="shared" si="24"/>
        <v/>
      </c>
    </row>
    <row r="514" spans="7:7" x14ac:dyDescent="0.3">
      <c r="G514" s="9" t="str">
        <f t="shared" si="24"/>
        <v/>
      </c>
    </row>
    <row r="515" spans="7:7" x14ac:dyDescent="0.3">
      <c r="G515" s="9" t="str">
        <f t="shared" si="24"/>
        <v/>
      </c>
    </row>
    <row r="516" spans="7:7" x14ac:dyDescent="0.3">
      <c r="G516" s="9" t="str">
        <f t="shared" si="24"/>
        <v/>
      </c>
    </row>
    <row r="517" spans="7:7" x14ac:dyDescent="0.3">
      <c r="G517" s="9" t="str">
        <f t="shared" si="24"/>
        <v/>
      </c>
    </row>
    <row r="518" spans="7:7" x14ac:dyDescent="0.3">
      <c r="G518" s="9" t="str">
        <f t="shared" si="24"/>
        <v/>
      </c>
    </row>
    <row r="519" spans="7:7" x14ac:dyDescent="0.3">
      <c r="G519" s="9" t="str">
        <f t="shared" ref="G519:G582" si="25">IF(F519="","",F519*0.21)</f>
        <v/>
      </c>
    </row>
    <row r="520" spans="7:7" x14ac:dyDescent="0.3">
      <c r="G520" s="9" t="str">
        <f t="shared" si="25"/>
        <v/>
      </c>
    </row>
    <row r="521" spans="7:7" x14ac:dyDescent="0.3">
      <c r="G521" s="9" t="str">
        <f t="shared" si="25"/>
        <v/>
      </c>
    </row>
    <row r="522" spans="7:7" x14ac:dyDescent="0.3">
      <c r="G522" s="9" t="str">
        <f t="shared" si="25"/>
        <v/>
      </c>
    </row>
    <row r="523" spans="7:7" x14ac:dyDescent="0.3">
      <c r="G523" s="9" t="str">
        <f t="shared" si="25"/>
        <v/>
      </c>
    </row>
    <row r="524" spans="7:7" x14ac:dyDescent="0.3">
      <c r="G524" s="9" t="str">
        <f t="shared" si="25"/>
        <v/>
      </c>
    </row>
    <row r="525" spans="7:7" x14ac:dyDescent="0.3">
      <c r="G525" s="9" t="str">
        <f t="shared" si="25"/>
        <v/>
      </c>
    </row>
    <row r="526" spans="7:7" x14ac:dyDescent="0.3">
      <c r="G526" s="9" t="str">
        <f t="shared" si="25"/>
        <v/>
      </c>
    </row>
    <row r="527" spans="7:7" x14ac:dyDescent="0.3">
      <c r="G527" s="9" t="str">
        <f t="shared" si="25"/>
        <v/>
      </c>
    </row>
    <row r="528" spans="7:7" x14ac:dyDescent="0.3">
      <c r="G528" s="9" t="str">
        <f t="shared" si="25"/>
        <v/>
      </c>
    </row>
    <row r="529" spans="7:7" x14ac:dyDescent="0.3">
      <c r="G529" s="9" t="str">
        <f t="shared" si="25"/>
        <v/>
      </c>
    </row>
    <row r="530" spans="7:7" x14ac:dyDescent="0.3">
      <c r="G530" s="9" t="str">
        <f t="shared" si="25"/>
        <v/>
      </c>
    </row>
    <row r="531" spans="7:7" x14ac:dyDescent="0.3">
      <c r="G531" s="9" t="str">
        <f t="shared" si="25"/>
        <v/>
      </c>
    </row>
    <row r="532" spans="7:7" x14ac:dyDescent="0.3">
      <c r="G532" s="9" t="str">
        <f t="shared" si="25"/>
        <v/>
      </c>
    </row>
    <row r="533" spans="7:7" x14ac:dyDescent="0.3">
      <c r="G533" s="9" t="str">
        <f t="shared" si="25"/>
        <v/>
      </c>
    </row>
    <row r="534" spans="7:7" x14ac:dyDescent="0.3">
      <c r="G534" s="9" t="str">
        <f t="shared" si="25"/>
        <v/>
      </c>
    </row>
    <row r="535" spans="7:7" x14ac:dyDescent="0.3">
      <c r="G535" s="9" t="str">
        <f t="shared" si="25"/>
        <v/>
      </c>
    </row>
    <row r="536" spans="7:7" x14ac:dyDescent="0.3">
      <c r="G536" s="9" t="str">
        <f t="shared" si="25"/>
        <v/>
      </c>
    </row>
    <row r="537" spans="7:7" x14ac:dyDescent="0.3">
      <c r="G537" s="9" t="str">
        <f t="shared" si="25"/>
        <v/>
      </c>
    </row>
    <row r="538" spans="7:7" x14ac:dyDescent="0.3">
      <c r="G538" s="9" t="str">
        <f t="shared" si="25"/>
        <v/>
      </c>
    </row>
    <row r="539" spans="7:7" x14ac:dyDescent="0.3">
      <c r="G539" s="9" t="str">
        <f t="shared" si="25"/>
        <v/>
      </c>
    </row>
    <row r="540" spans="7:7" x14ac:dyDescent="0.3">
      <c r="G540" s="9" t="str">
        <f t="shared" si="25"/>
        <v/>
      </c>
    </row>
    <row r="541" spans="7:7" x14ac:dyDescent="0.3">
      <c r="G541" s="9" t="str">
        <f t="shared" si="25"/>
        <v/>
      </c>
    </row>
    <row r="542" spans="7:7" x14ac:dyDescent="0.3">
      <c r="G542" s="9" t="str">
        <f t="shared" si="25"/>
        <v/>
      </c>
    </row>
    <row r="543" spans="7:7" x14ac:dyDescent="0.3">
      <c r="G543" s="9" t="str">
        <f t="shared" si="25"/>
        <v/>
      </c>
    </row>
    <row r="544" spans="7:7" x14ac:dyDescent="0.3">
      <c r="G544" s="9" t="str">
        <f t="shared" si="25"/>
        <v/>
      </c>
    </row>
    <row r="545" spans="7:7" x14ac:dyDescent="0.3">
      <c r="G545" s="9" t="str">
        <f t="shared" si="25"/>
        <v/>
      </c>
    </row>
    <row r="546" spans="7:7" x14ac:dyDescent="0.3">
      <c r="G546" s="9" t="str">
        <f t="shared" si="25"/>
        <v/>
      </c>
    </row>
    <row r="547" spans="7:7" x14ac:dyDescent="0.3">
      <c r="G547" s="9" t="str">
        <f t="shared" si="25"/>
        <v/>
      </c>
    </row>
    <row r="548" spans="7:7" x14ac:dyDescent="0.3">
      <c r="G548" s="9" t="str">
        <f t="shared" si="25"/>
        <v/>
      </c>
    </row>
    <row r="549" spans="7:7" x14ac:dyDescent="0.3">
      <c r="G549" s="9" t="str">
        <f t="shared" si="25"/>
        <v/>
      </c>
    </row>
    <row r="550" spans="7:7" x14ac:dyDescent="0.3">
      <c r="G550" s="9" t="str">
        <f t="shared" si="25"/>
        <v/>
      </c>
    </row>
    <row r="551" spans="7:7" x14ac:dyDescent="0.3">
      <c r="G551" s="9" t="str">
        <f t="shared" si="25"/>
        <v/>
      </c>
    </row>
    <row r="552" spans="7:7" x14ac:dyDescent="0.3">
      <c r="G552" s="9" t="str">
        <f t="shared" si="25"/>
        <v/>
      </c>
    </row>
    <row r="553" spans="7:7" x14ac:dyDescent="0.3">
      <c r="G553" s="9" t="str">
        <f t="shared" si="25"/>
        <v/>
      </c>
    </row>
    <row r="554" spans="7:7" x14ac:dyDescent="0.3">
      <c r="G554" s="9" t="str">
        <f t="shared" si="25"/>
        <v/>
      </c>
    </row>
    <row r="555" spans="7:7" x14ac:dyDescent="0.3">
      <c r="G555" s="9" t="str">
        <f t="shared" si="25"/>
        <v/>
      </c>
    </row>
    <row r="556" spans="7:7" x14ac:dyDescent="0.3">
      <c r="G556" s="9" t="str">
        <f t="shared" si="25"/>
        <v/>
      </c>
    </row>
    <row r="557" spans="7:7" x14ac:dyDescent="0.3">
      <c r="G557" s="9" t="str">
        <f t="shared" si="25"/>
        <v/>
      </c>
    </row>
    <row r="558" spans="7:7" x14ac:dyDescent="0.3">
      <c r="G558" s="9" t="str">
        <f t="shared" si="25"/>
        <v/>
      </c>
    </row>
    <row r="559" spans="7:7" x14ac:dyDescent="0.3">
      <c r="G559" s="9" t="str">
        <f t="shared" si="25"/>
        <v/>
      </c>
    </row>
    <row r="560" spans="7:7" x14ac:dyDescent="0.3">
      <c r="G560" s="9" t="str">
        <f t="shared" si="25"/>
        <v/>
      </c>
    </row>
    <row r="561" spans="7:7" x14ac:dyDescent="0.3">
      <c r="G561" s="9" t="str">
        <f t="shared" si="25"/>
        <v/>
      </c>
    </row>
    <row r="562" spans="7:7" x14ac:dyDescent="0.3">
      <c r="G562" s="9" t="str">
        <f t="shared" si="25"/>
        <v/>
      </c>
    </row>
    <row r="563" spans="7:7" x14ac:dyDescent="0.3">
      <c r="G563" s="9" t="str">
        <f t="shared" si="25"/>
        <v/>
      </c>
    </row>
    <row r="564" spans="7:7" x14ac:dyDescent="0.3">
      <c r="G564" s="9" t="str">
        <f t="shared" si="25"/>
        <v/>
      </c>
    </row>
    <row r="565" spans="7:7" x14ac:dyDescent="0.3">
      <c r="G565" s="9" t="str">
        <f t="shared" si="25"/>
        <v/>
      </c>
    </row>
    <row r="566" spans="7:7" x14ac:dyDescent="0.3">
      <c r="G566" s="9" t="str">
        <f t="shared" si="25"/>
        <v/>
      </c>
    </row>
    <row r="567" spans="7:7" x14ac:dyDescent="0.3">
      <c r="G567" s="9" t="str">
        <f t="shared" si="25"/>
        <v/>
      </c>
    </row>
    <row r="568" spans="7:7" x14ac:dyDescent="0.3">
      <c r="G568" s="9" t="str">
        <f t="shared" si="25"/>
        <v/>
      </c>
    </row>
    <row r="569" spans="7:7" x14ac:dyDescent="0.3">
      <c r="G569" s="9" t="str">
        <f t="shared" si="25"/>
        <v/>
      </c>
    </row>
    <row r="570" spans="7:7" x14ac:dyDescent="0.3">
      <c r="G570" s="9" t="str">
        <f t="shared" si="25"/>
        <v/>
      </c>
    </row>
    <row r="571" spans="7:7" x14ac:dyDescent="0.3">
      <c r="G571" s="9" t="str">
        <f t="shared" si="25"/>
        <v/>
      </c>
    </row>
    <row r="572" spans="7:7" x14ac:dyDescent="0.3">
      <c r="G572" s="9" t="str">
        <f t="shared" si="25"/>
        <v/>
      </c>
    </row>
    <row r="573" spans="7:7" x14ac:dyDescent="0.3">
      <c r="G573" s="9" t="str">
        <f t="shared" si="25"/>
        <v/>
      </c>
    </row>
    <row r="574" spans="7:7" x14ac:dyDescent="0.3">
      <c r="G574" s="9" t="str">
        <f t="shared" si="25"/>
        <v/>
      </c>
    </row>
    <row r="575" spans="7:7" x14ac:dyDescent="0.3">
      <c r="G575" s="9" t="str">
        <f t="shared" si="25"/>
        <v/>
      </c>
    </row>
    <row r="576" spans="7:7" x14ac:dyDescent="0.3">
      <c r="G576" s="9" t="str">
        <f t="shared" si="25"/>
        <v/>
      </c>
    </row>
    <row r="577" spans="7:7" x14ac:dyDescent="0.3">
      <c r="G577" s="9" t="str">
        <f t="shared" si="25"/>
        <v/>
      </c>
    </row>
    <row r="578" spans="7:7" x14ac:dyDescent="0.3">
      <c r="G578" s="9" t="str">
        <f t="shared" si="25"/>
        <v/>
      </c>
    </row>
    <row r="579" spans="7:7" x14ac:dyDescent="0.3">
      <c r="G579" s="9" t="str">
        <f t="shared" si="25"/>
        <v/>
      </c>
    </row>
    <row r="580" spans="7:7" x14ac:dyDescent="0.3">
      <c r="G580" s="9" t="str">
        <f t="shared" si="25"/>
        <v/>
      </c>
    </row>
    <row r="581" spans="7:7" x14ac:dyDescent="0.3">
      <c r="G581" s="9" t="str">
        <f t="shared" si="25"/>
        <v/>
      </c>
    </row>
    <row r="582" spans="7:7" x14ac:dyDescent="0.3">
      <c r="G582" s="9" t="str">
        <f t="shared" si="25"/>
        <v/>
      </c>
    </row>
    <row r="583" spans="7:7" x14ac:dyDescent="0.3">
      <c r="G583" s="9" t="str">
        <f t="shared" ref="G583:G646" si="26">IF(F583="","",F583*0.21)</f>
        <v/>
      </c>
    </row>
    <row r="584" spans="7:7" x14ac:dyDescent="0.3">
      <c r="G584" s="9" t="str">
        <f t="shared" si="26"/>
        <v/>
      </c>
    </row>
    <row r="585" spans="7:7" x14ac:dyDescent="0.3">
      <c r="G585" s="9" t="str">
        <f t="shared" si="26"/>
        <v/>
      </c>
    </row>
    <row r="586" spans="7:7" x14ac:dyDescent="0.3">
      <c r="G586" s="9" t="str">
        <f t="shared" si="26"/>
        <v/>
      </c>
    </row>
    <row r="587" spans="7:7" x14ac:dyDescent="0.3">
      <c r="G587" s="9" t="str">
        <f t="shared" si="26"/>
        <v/>
      </c>
    </row>
    <row r="588" spans="7:7" x14ac:dyDescent="0.3">
      <c r="G588" s="9" t="str">
        <f t="shared" si="26"/>
        <v/>
      </c>
    </row>
    <row r="589" spans="7:7" x14ac:dyDescent="0.3">
      <c r="G589" s="9" t="str">
        <f t="shared" si="26"/>
        <v/>
      </c>
    </row>
    <row r="590" spans="7:7" x14ac:dyDescent="0.3">
      <c r="G590" s="9" t="str">
        <f t="shared" si="26"/>
        <v/>
      </c>
    </row>
    <row r="591" spans="7:7" x14ac:dyDescent="0.3">
      <c r="G591" s="9" t="str">
        <f t="shared" si="26"/>
        <v/>
      </c>
    </row>
    <row r="592" spans="7:7" x14ac:dyDescent="0.3">
      <c r="G592" s="9" t="str">
        <f t="shared" si="26"/>
        <v/>
      </c>
    </row>
    <row r="593" spans="7:7" x14ac:dyDescent="0.3">
      <c r="G593" s="9" t="str">
        <f t="shared" si="26"/>
        <v/>
      </c>
    </row>
    <row r="594" spans="7:7" x14ac:dyDescent="0.3">
      <c r="G594" s="9" t="str">
        <f t="shared" si="26"/>
        <v/>
      </c>
    </row>
    <row r="595" spans="7:7" x14ac:dyDescent="0.3">
      <c r="G595" s="9" t="str">
        <f t="shared" si="26"/>
        <v/>
      </c>
    </row>
    <row r="596" spans="7:7" x14ac:dyDescent="0.3">
      <c r="G596" s="9" t="str">
        <f t="shared" si="26"/>
        <v/>
      </c>
    </row>
    <row r="597" spans="7:7" x14ac:dyDescent="0.3">
      <c r="G597" s="9" t="str">
        <f t="shared" si="26"/>
        <v/>
      </c>
    </row>
    <row r="598" spans="7:7" x14ac:dyDescent="0.3">
      <c r="G598" s="9" t="str">
        <f t="shared" si="26"/>
        <v/>
      </c>
    </row>
    <row r="599" spans="7:7" x14ac:dyDescent="0.3">
      <c r="G599" s="9" t="str">
        <f t="shared" si="26"/>
        <v/>
      </c>
    </row>
    <row r="600" spans="7:7" x14ac:dyDescent="0.3">
      <c r="G600" s="9" t="str">
        <f t="shared" si="26"/>
        <v/>
      </c>
    </row>
    <row r="601" spans="7:7" x14ac:dyDescent="0.3">
      <c r="G601" s="9" t="str">
        <f t="shared" si="26"/>
        <v/>
      </c>
    </row>
    <row r="602" spans="7:7" x14ac:dyDescent="0.3">
      <c r="G602" s="9" t="str">
        <f t="shared" si="26"/>
        <v/>
      </c>
    </row>
    <row r="603" spans="7:7" x14ac:dyDescent="0.3">
      <c r="G603" s="9" t="str">
        <f t="shared" si="26"/>
        <v/>
      </c>
    </row>
    <row r="604" spans="7:7" x14ac:dyDescent="0.3">
      <c r="G604" s="9" t="str">
        <f t="shared" si="26"/>
        <v/>
      </c>
    </row>
    <row r="605" spans="7:7" x14ac:dyDescent="0.3">
      <c r="G605" s="9" t="str">
        <f t="shared" si="26"/>
        <v/>
      </c>
    </row>
    <row r="606" spans="7:7" x14ac:dyDescent="0.3">
      <c r="G606" s="9" t="str">
        <f t="shared" si="26"/>
        <v/>
      </c>
    </row>
    <row r="607" spans="7:7" x14ac:dyDescent="0.3">
      <c r="G607" s="9" t="str">
        <f t="shared" si="26"/>
        <v/>
      </c>
    </row>
    <row r="608" spans="7:7" x14ac:dyDescent="0.3">
      <c r="G608" s="9" t="str">
        <f t="shared" si="26"/>
        <v/>
      </c>
    </row>
    <row r="609" spans="7:7" x14ac:dyDescent="0.3">
      <c r="G609" s="9" t="str">
        <f t="shared" si="26"/>
        <v/>
      </c>
    </row>
    <row r="610" spans="7:7" x14ac:dyDescent="0.3">
      <c r="G610" s="9" t="str">
        <f t="shared" si="26"/>
        <v/>
      </c>
    </row>
    <row r="611" spans="7:7" x14ac:dyDescent="0.3">
      <c r="G611" s="9" t="str">
        <f t="shared" si="26"/>
        <v/>
      </c>
    </row>
    <row r="612" spans="7:7" x14ac:dyDescent="0.3">
      <c r="G612" s="9" t="str">
        <f t="shared" si="26"/>
        <v/>
      </c>
    </row>
    <row r="613" spans="7:7" x14ac:dyDescent="0.3">
      <c r="G613" s="9" t="str">
        <f t="shared" si="26"/>
        <v/>
      </c>
    </row>
    <row r="614" spans="7:7" x14ac:dyDescent="0.3">
      <c r="G614" s="9" t="str">
        <f t="shared" si="26"/>
        <v/>
      </c>
    </row>
    <row r="615" spans="7:7" x14ac:dyDescent="0.3">
      <c r="G615" s="9" t="str">
        <f t="shared" si="26"/>
        <v/>
      </c>
    </row>
    <row r="616" spans="7:7" x14ac:dyDescent="0.3">
      <c r="G616" s="9" t="str">
        <f t="shared" si="26"/>
        <v/>
      </c>
    </row>
    <row r="617" spans="7:7" x14ac:dyDescent="0.3">
      <c r="G617" s="9" t="str">
        <f t="shared" si="26"/>
        <v/>
      </c>
    </row>
    <row r="618" spans="7:7" x14ac:dyDescent="0.3">
      <c r="G618" s="9" t="str">
        <f t="shared" si="26"/>
        <v/>
      </c>
    </row>
    <row r="619" spans="7:7" x14ac:dyDescent="0.3">
      <c r="G619" s="9" t="str">
        <f t="shared" si="26"/>
        <v/>
      </c>
    </row>
    <row r="620" spans="7:7" x14ac:dyDescent="0.3">
      <c r="G620" s="9" t="str">
        <f t="shared" si="26"/>
        <v/>
      </c>
    </row>
    <row r="621" spans="7:7" x14ac:dyDescent="0.3">
      <c r="G621" s="9" t="str">
        <f t="shared" si="26"/>
        <v/>
      </c>
    </row>
    <row r="622" spans="7:7" x14ac:dyDescent="0.3">
      <c r="G622" s="9" t="str">
        <f t="shared" si="26"/>
        <v/>
      </c>
    </row>
    <row r="623" spans="7:7" x14ac:dyDescent="0.3">
      <c r="G623" s="9" t="str">
        <f t="shared" si="26"/>
        <v/>
      </c>
    </row>
    <row r="624" spans="7:7" x14ac:dyDescent="0.3">
      <c r="G624" s="9" t="str">
        <f t="shared" si="26"/>
        <v/>
      </c>
    </row>
    <row r="625" spans="7:7" x14ac:dyDescent="0.3">
      <c r="G625" s="9" t="str">
        <f t="shared" si="26"/>
        <v/>
      </c>
    </row>
    <row r="626" spans="7:7" x14ac:dyDescent="0.3">
      <c r="G626" s="9" t="str">
        <f t="shared" si="26"/>
        <v/>
      </c>
    </row>
    <row r="627" spans="7:7" x14ac:dyDescent="0.3">
      <c r="G627" s="9" t="str">
        <f t="shared" si="26"/>
        <v/>
      </c>
    </row>
    <row r="628" spans="7:7" x14ac:dyDescent="0.3">
      <c r="G628" s="9" t="str">
        <f t="shared" si="26"/>
        <v/>
      </c>
    </row>
    <row r="629" spans="7:7" x14ac:dyDescent="0.3">
      <c r="G629" s="9" t="str">
        <f t="shared" si="26"/>
        <v/>
      </c>
    </row>
    <row r="630" spans="7:7" x14ac:dyDescent="0.3">
      <c r="G630" s="9" t="str">
        <f t="shared" si="26"/>
        <v/>
      </c>
    </row>
    <row r="631" spans="7:7" x14ac:dyDescent="0.3">
      <c r="G631" s="9" t="str">
        <f t="shared" si="26"/>
        <v/>
      </c>
    </row>
    <row r="632" spans="7:7" x14ac:dyDescent="0.3">
      <c r="G632" s="9" t="str">
        <f t="shared" si="26"/>
        <v/>
      </c>
    </row>
    <row r="633" spans="7:7" x14ac:dyDescent="0.3">
      <c r="G633" s="9" t="str">
        <f t="shared" si="26"/>
        <v/>
      </c>
    </row>
    <row r="634" spans="7:7" x14ac:dyDescent="0.3">
      <c r="G634" s="9" t="str">
        <f t="shared" si="26"/>
        <v/>
      </c>
    </row>
    <row r="635" spans="7:7" x14ac:dyDescent="0.3">
      <c r="G635" s="9" t="str">
        <f t="shared" si="26"/>
        <v/>
      </c>
    </row>
    <row r="636" spans="7:7" x14ac:dyDescent="0.3">
      <c r="G636" s="9" t="str">
        <f t="shared" si="26"/>
        <v/>
      </c>
    </row>
    <row r="637" spans="7:7" x14ac:dyDescent="0.3">
      <c r="G637" s="9" t="str">
        <f t="shared" si="26"/>
        <v/>
      </c>
    </row>
    <row r="638" spans="7:7" x14ac:dyDescent="0.3">
      <c r="G638" s="9" t="str">
        <f t="shared" si="26"/>
        <v/>
      </c>
    </row>
    <row r="639" spans="7:7" x14ac:dyDescent="0.3">
      <c r="G639" s="9" t="str">
        <f t="shared" si="26"/>
        <v/>
      </c>
    </row>
    <row r="640" spans="7:7" x14ac:dyDescent="0.3">
      <c r="G640" s="9" t="str">
        <f t="shared" si="26"/>
        <v/>
      </c>
    </row>
    <row r="641" spans="7:7" x14ac:dyDescent="0.3">
      <c r="G641" s="9" t="str">
        <f t="shared" si="26"/>
        <v/>
      </c>
    </row>
    <row r="642" spans="7:7" x14ac:dyDescent="0.3">
      <c r="G642" s="9" t="str">
        <f t="shared" si="26"/>
        <v/>
      </c>
    </row>
    <row r="643" spans="7:7" x14ac:dyDescent="0.3">
      <c r="G643" s="9" t="str">
        <f t="shared" si="26"/>
        <v/>
      </c>
    </row>
    <row r="644" spans="7:7" x14ac:dyDescent="0.3">
      <c r="G644" s="9" t="str">
        <f t="shared" si="26"/>
        <v/>
      </c>
    </row>
    <row r="645" spans="7:7" x14ac:dyDescent="0.3">
      <c r="G645" s="9" t="str">
        <f t="shared" si="26"/>
        <v/>
      </c>
    </row>
    <row r="646" spans="7:7" x14ac:dyDescent="0.3">
      <c r="G646" s="9" t="str">
        <f t="shared" si="26"/>
        <v/>
      </c>
    </row>
    <row r="647" spans="7:7" x14ac:dyDescent="0.3">
      <c r="G647" s="9" t="str">
        <f t="shared" ref="G647:G710" si="27">IF(F647="","",F647*0.21)</f>
        <v/>
      </c>
    </row>
    <row r="648" spans="7:7" x14ac:dyDescent="0.3">
      <c r="G648" s="9" t="str">
        <f t="shared" si="27"/>
        <v/>
      </c>
    </row>
    <row r="649" spans="7:7" x14ac:dyDescent="0.3">
      <c r="G649" s="9" t="str">
        <f t="shared" si="27"/>
        <v/>
      </c>
    </row>
    <row r="650" spans="7:7" x14ac:dyDescent="0.3">
      <c r="G650" s="9" t="str">
        <f t="shared" si="27"/>
        <v/>
      </c>
    </row>
    <row r="651" spans="7:7" x14ac:dyDescent="0.3">
      <c r="G651" s="9" t="str">
        <f t="shared" si="27"/>
        <v/>
      </c>
    </row>
    <row r="652" spans="7:7" x14ac:dyDescent="0.3">
      <c r="G652" s="9" t="str">
        <f t="shared" si="27"/>
        <v/>
      </c>
    </row>
    <row r="653" spans="7:7" x14ac:dyDescent="0.3">
      <c r="G653" s="9" t="str">
        <f t="shared" si="27"/>
        <v/>
      </c>
    </row>
    <row r="654" spans="7:7" x14ac:dyDescent="0.3">
      <c r="G654" s="9" t="str">
        <f t="shared" si="27"/>
        <v/>
      </c>
    </row>
    <row r="655" spans="7:7" x14ac:dyDescent="0.3">
      <c r="G655" s="9" t="str">
        <f t="shared" si="27"/>
        <v/>
      </c>
    </row>
    <row r="656" spans="7:7" x14ac:dyDescent="0.3">
      <c r="G656" s="9" t="str">
        <f t="shared" si="27"/>
        <v/>
      </c>
    </row>
    <row r="657" spans="7:7" x14ac:dyDescent="0.3">
      <c r="G657" s="9" t="str">
        <f t="shared" si="27"/>
        <v/>
      </c>
    </row>
    <row r="658" spans="7:7" x14ac:dyDescent="0.3">
      <c r="G658" s="9" t="str">
        <f t="shared" si="27"/>
        <v/>
      </c>
    </row>
    <row r="659" spans="7:7" x14ac:dyDescent="0.3">
      <c r="G659" s="9" t="str">
        <f t="shared" si="27"/>
        <v/>
      </c>
    </row>
    <row r="660" spans="7:7" x14ac:dyDescent="0.3">
      <c r="G660" s="9" t="str">
        <f t="shared" si="27"/>
        <v/>
      </c>
    </row>
    <row r="661" spans="7:7" x14ac:dyDescent="0.3">
      <c r="G661" s="9" t="str">
        <f t="shared" si="27"/>
        <v/>
      </c>
    </row>
    <row r="662" spans="7:7" x14ac:dyDescent="0.3">
      <c r="G662" s="9" t="str">
        <f t="shared" si="27"/>
        <v/>
      </c>
    </row>
    <row r="663" spans="7:7" x14ac:dyDescent="0.3">
      <c r="G663" s="9" t="str">
        <f t="shared" si="27"/>
        <v/>
      </c>
    </row>
    <row r="664" spans="7:7" x14ac:dyDescent="0.3">
      <c r="G664" s="9" t="str">
        <f t="shared" si="27"/>
        <v/>
      </c>
    </row>
    <row r="665" spans="7:7" x14ac:dyDescent="0.3">
      <c r="G665" s="9" t="str">
        <f t="shared" si="27"/>
        <v/>
      </c>
    </row>
    <row r="666" spans="7:7" x14ac:dyDescent="0.3">
      <c r="G666" s="9" t="str">
        <f t="shared" si="27"/>
        <v/>
      </c>
    </row>
    <row r="667" spans="7:7" x14ac:dyDescent="0.3">
      <c r="G667" s="9" t="str">
        <f t="shared" si="27"/>
        <v/>
      </c>
    </row>
    <row r="668" spans="7:7" x14ac:dyDescent="0.3">
      <c r="G668" s="9" t="str">
        <f t="shared" si="27"/>
        <v/>
      </c>
    </row>
    <row r="669" spans="7:7" x14ac:dyDescent="0.3">
      <c r="G669" s="9" t="str">
        <f t="shared" si="27"/>
        <v/>
      </c>
    </row>
    <row r="670" spans="7:7" x14ac:dyDescent="0.3">
      <c r="G670" s="9" t="str">
        <f t="shared" si="27"/>
        <v/>
      </c>
    </row>
    <row r="671" spans="7:7" x14ac:dyDescent="0.3">
      <c r="G671" s="9" t="str">
        <f t="shared" si="27"/>
        <v/>
      </c>
    </row>
    <row r="672" spans="7:7" x14ac:dyDescent="0.3">
      <c r="G672" s="9" t="str">
        <f t="shared" si="27"/>
        <v/>
      </c>
    </row>
    <row r="673" spans="7:7" x14ac:dyDescent="0.3">
      <c r="G673" s="9" t="str">
        <f t="shared" si="27"/>
        <v/>
      </c>
    </row>
    <row r="674" spans="7:7" x14ac:dyDescent="0.3">
      <c r="G674" s="9" t="str">
        <f t="shared" si="27"/>
        <v/>
      </c>
    </row>
    <row r="675" spans="7:7" x14ac:dyDescent="0.3">
      <c r="G675" s="9" t="str">
        <f t="shared" si="27"/>
        <v/>
      </c>
    </row>
    <row r="676" spans="7:7" x14ac:dyDescent="0.3">
      <c r="G676" s="9" t="str">
        <f t="shared" si="27"/>
        <v/>
      </c>
    </row>
    <row r="677" spans="7:7" x14ac:dyDescent="0.3">
      <c r="G677" s="9" t="str">
        <f t="shared" si="27"/>
        <v/>
      </c>
    </row>
    <row r="678" spans="7:7" x14ac:dyDescent="0.3">
      <c r="G678" s="9" t="str">
        <f t="shared" si="27"/>
        <v/>
      </c>
    </row>
    <row r="679" spans="7:7" x14ac:dyDescent="0.3">
      <c r="G679" s="9" t="str">
        <f t="shared" si="27"/>
        <v/>
      </c>
    </row>
    <row r="680" spans="7:7" x14ac:dyDescent="0.3">
      <c r="G680" s="9" t="str">
        <f t="shared" si="27"/>
        <v/>
      </c>
    </row>
    <row r="681" spans="7:7" x14ac:dyDescent="0.3">
      <c r="G681" s="9" t="str">
        <f t="shared" si="27"/>
        <v/>
      </c>
    </row>
    <row r="682" spans="7:7" x14ac:dyDescent="0.3">
      <c r="G682" s="9" t="str">
        <f t="shared" si="27"/>
        <v/>
      </c>
    </row>
    <row r="683" spans="7:7" x14ac:dyDescent="0.3">
      <c r="G683" s="9" t="str">
        <f t="shared" si="27"/>
        <v/>
      </c>
    </row>
    <row r="684" spans="7:7" x14ac:dyDescent="0.3">
      <c r="G684" s="9" t="str">
        <f t="shared" si="27"/>
        <v/>
      </c>
    </row>
    <row r="685" spans="7:7" x14ac:dyDescent="0.3">
      <c r="G685" s="9" t="str">
        <f t="shared" si="27"/>
        <v/>
      </c>
    </row>
    <row r="686" spans="7:7" x14ac:dyDescent="0.3">
      <c r="G686" s="9" t="str">
        <f t="shared" si="27"/>
        <v/>
      </c>
    </row>
    <row r="687" spans="7:7" x14ac:dyDescent="0.3">
      <c r="G687" s="9" t="str">
        <f t="shared" si="27"/>
        <v/>
      </c>
    </row>
    <row r="688" spans="7:7" x14ac:dyDescent="0.3">
      <c r="G688" s="9" t="str">
        <f t="shared" si="27"/>
        <v/>
      </c>
    </row>
    <row r="689" spans="7:7" x14ac:dyDescent="0.3">
      <c r="G689" s="9" t="str">
        <f t="shared" si="27"/>
        <v/>
      </c>
    </row>
    <row r="690" spans="7:7" x14ac:dyDescent="0.3">
      <c r="G690" s="9" t="str">
        <f t="shared" si="27"/>
        <v/>
      </c>
    </row>
    <row r="691" spans="7:7" x14ac:dyDescent="0.3">
      <c r="G691" s="9" t="str">
        <f t="shared" si="27"/>
        <v/>
      </c>
    </row>
    <row r="692" spans="7:7" x14ac:dyDescent="0.3">
      <c r="G692" s="9" t="str">
        <f t="shared" si="27"/>
        <v/>
      </c>
    </row>
    <row r="693" spans="7:7" x14ac:dyDescent="0.3">
      <c r="G693" s="9" t="str">
        <f t="shared" si="27"/>
        <v/>
      </c>
    </row>
    <row r="694" spans="7:7" x14ac:dyDescent="0.3">
      <c r="G694" s="9" t="str">
        <f t="shared" si="27"/>
        <v/>
      </c>
    </row>
    <row r="695" spans="7:7" x14ac:dyDescent="0.3">
      <c r="G695" s="9" t="str">
        <f t="shared" si="27"/>
        <v/>
      </c>
    </row>
    <row r="696" spans="7:7" x14ac:dyDescent="0.3">
      <c r="G696" s="9" t="str">
        <f t="shared" si="27"/>
        <v/>
      </c>
    </row>
    <row r="697" spans="7:7" x14ac:dyDescent="0.3">
      <c r="G697" s="9" t="str">
        <f t="shared" si="27"/>
        <v/>
      </c>
    </row>
    <row r="698" spans="7:7" x14ac:dyDescent="0.3">
      <c r="G698" s="9" t="str">
        <f t="shared" si="27"/>
        <v/>
      </c>
    </row>
    <row r="699" spans="7:7" x14ac:dyDescent="0.3">
      <c r="G699" s="9" t="str">
        <f t="shared" si="27"/>
        <v/>
      </c>
    </row>
    <row r="700" spans="7:7" x14ac:dyDescent="0.3">
      <c r="G700" s="9" t="str">
        <f t="shared" si="27"/>
        <v/>
      </c>
    </row>
    <row r="701" spans="7:7" x14ac:dyDescent="0.3">
      <c r="G701" s="9" t="str">
        <f t="shared" si="27"/>
        <v/>
      </c>
    </row>
    <row r="702" spans="7:7" x14ac:dyDescent="0.3">
      <c r="G702" s="9" t="str">
        <f t="shared" si="27"/>
        <v/>
      </c>
    </row>
    <row r="703" spans="7:7" x14ac:dyDescent="0.3">
      <c r="G703" s="9" t="str">
        <f t="shared" si="27"/>
        <v/>
      </c>
    </row>
    <row r="704" spans="7:7" x14ac:dyDescent="0.3">
      <c r="G704" s="9" t="str">
        <f t="shared" si="27"/>
        <v/>
      </c>
    </row>
    <row r="705" spans="7:7" x14ac:dyDescent="0.3">
      <c r="G705" s="9" t="str">
        <f t="shared" si="27"/>
        <v/>
      </c>
    </row>
    <row r="706" spans="7:7" x14ac:dyDescent="0.3">
      <c r="G706" s="9" t="str">
        <f t="shared" si="27"/>
        <v/>
      </c>
    </row>
    <row r="707" spans="7:7" x14ac:dyDescent="0.3">
      <c r="G707" s="9" t="str">
        <f t="shared" si="27"/>
        <v/>
      </c>
    </row>
    <row r="708" spans="7:7" x14ac:dyDescent="0.3">
      <c r="G708" s="9" t="str">
        <f t="shared" si="27"/>
        <v/>
      </c>
    </row>
    <row r="709" spans="7:7" x14ac:dyDescent="0.3">
      <c r="G709" s="9" t="str">
        <f t="shared" si="27"/>
        <v/>
      </c>
    </row>
    <row r="710" spans="7:7" x14ac:dyDescent="0.3">
      <c r="G710" s="9" t="str">
        <f t="shared" si="27"/>
        <v/>
      </c>
    </row>
    <row r="711" spans="7:7" x14ac:dyDescent="0.3">
      <c r="G711" s="9" t="str">
        <f t="shared" ref="G711:G774" si="28">IF(F711="","",F711*0.21)</f>
        <v/>
      </c>
    </row>
    <row r="712" spans="7:7" x14ac:dyDescent="0.3">
      <c r="G712" s="9" t="str">
        <f t="shared" si="28"/>
        <v/>
      </c>
    </row>
    <row r="713" spans="7:7" x14ac:dyDescent="0.3">
      <c r="G713" s="9" t="str">
        <f t="shared" si="28"/>
        <v/>
      </c>
    </row>
    <row r="714" spans="7:7" x14ac:dyDescent="0.3">
      <c r="G714" s="9" t="str">
        <f t="shared" si="28"/>
        <v/>
      </c>
    </row>
    <row r="715" spans="7:7" x14ac:dyDescent="0.3">
      <c r="G715" s="9" t="str">
        <f t="shared" si="28"/>
        <v/>
      </c>
    </row>
    <row r="716" spans="7:7" x14ac:dyDescent="0.3">
      <c r="G716" s="9" t="str">
        <f t="shared" si="28"/>
        <v/>
      </c>
    </row>
    <row r="717" spans="7:7" x14ac:dyDescent="0.3">
      <c r="G717" s="9" t="str">
        <f t="shared" si="28"/>
        <v/>
      </c>
    </row>
    <row r="718" spans="7:7" x14ac:dyDescent="0.3">
      <c r="G718" s="9" t="str">
        <f t="shared" si="28"/>
        <v/>
      </c>
    </row>
    <row r="719" spans="7:7" x14ac:dyDescent="0.3">
      <c r="G719" s="9" t="str">
        <f t="shared" si="28"/>
        <v/>
      </c>
    </row>
    <row r="720" spans="7:7" x14ac:dyDescent="0.3">
      <c r="G720" s="9" t="str">
        <f t="shared" si="28"/>
        <v/>
      </c>
    </row>
    <row r="721" spans="7:7" x14ac:dyDescent="0.3">
      <c r="G721" s="9" t="str">
        <f t="shared" si="28"/>
        <v/>
      </c>
    </row>
    <row r="722" spans="7:7" x14ac:dyDescent="0.3">
      <c r="G722" s="9" t="str">
        <f t="shared" si="28"/>
        <v/>
      </c>
    </row>
    <row r="723" spans="7:7" x14ac:dyDescent="0.3">
      <c r="G723" s="9" t="str">
        <f t="shared" si="28"/>
        <v/>
      </c>
    </row>
    <row r="724" spans="7:7" x14ac:dyDescent="0.3">
      <c r="G724" s="9" t="str">
        <f t="shared" si="28"/>
        <v/>
      </c>
    </row>
    <row r="725" spans="7:7" x14ac:dyDescent="0.3">
      <c r="G725" s="9" t="str">
        <f t="shared" si="28"/>
        <v/>
      </c>
    </row>
    <row r="726" spans="7:7" x14ac:dyDescent="0.3">
      <c r="G726" s="9" t="str">
        <f t="shared" si="28"/>
        <v/>
      </c>
    </row>
    <row r="727" spans="7:7" x14ac:dyDescent="0.3">
      <c r="G727" s="9" t="str">
        <f t="shared" si="28"/>
        <v/>
      </c>
    </row>
    <row r="728" spans="7:7" x14ac:dyDescent="0.3">
      <c r="G728" s="9" t="str">
        <f t="shared" si="28"/>
        <v/>
      </c>
    </row>
    <row r="729" spans="7:7" x14ac:dyDescent="0.3">
      <c r="G729" s="9" t="str">
        <f t="shared" si="28"/>
        <v/>
      </c>
    </row>
    <row r="730" spans="7:7" x14ac:dyDescent="0.3">
      <c r="G730" s="9" t="str">
        <f t="shared" si="28"/>
        <v/>
      </c>
    </row>
    <row r="731" spans="7:7" x14ac:dyDescent="0.3">
      <c r="G731" s="9" t="str">
        <f t="shared" si="28"/>
        <v/>
      </c>
    </row>
    <row r="732" spans="7:7" x14ac:dyDescent="0.3">
      <c r="G732" s="9" t="str">
        <f t="shared" si="28"/>
        <v/>
      </c>
    </row>
    <row r="733" spans="7:7" x14ac:dyDescent="0.3">
      <c r="G733" s="9" t="str">
        <f t="shared" si="28"/>
        <v/>
      </c>
    </row>
    <row r="734" spans="7:7" x14ac:dyDescent="0.3">
      <c r="G734" s="9" t="str">
        <f t="shared" si="28"/>
        <v/>
      </c>
    </row>
    <row r="735" spans="7:7" x14ac:dyDescent="0.3">
      <c r="G735" s="9" t="str">
        <f t="shared" si="28"/>
        <v/>
      </c>
    </row>
    <row r="736" spans="7:7" x14ac:dyDescent="0.3">
      <c r="G736" s="9" t="str">
        <f t="shared" si="28"/>
        <v/>
      </c>
    </row>
    <row r="737" spans="7:7" x14ac:dyDescent="0.3">
      <c r="G737" s="9" t="str">
        <f t="shared" si="28"/>
        <v/>
      </c>
    </row>
    <row r="738" spans="7:7" x14ac:dyDescent="0.3">
      <c r="G738" s="9" t="str">
        <f t="shared" si="28"/>
        <v/>
      </c>
    </row>
    <row r="739" spans="7:7" x14ac:dyDescent="0.3">
      <c r="G739" s="9" t="str">
        <f t="shared" si="28"/>
        <v/>
      </c>
    </row>
    <row r="740" spans="7:7" x14ac:dyDescent="0.3">
      <c r="G740" s="9" t="str">
        <f t="shared" si="28"/>
        <v/>
      </c>
    </row>
    <row r="741" spans="7:7" x14ac:dyDescent="0.3">
      <c r="G741" s="9" t="str">
        <f t="shared" si="28"/>
        <v/>
      </c>
    </row>
    <row r="742" spans="7:7" x14ac:dyDescent="0.3">
      <c r="G742" s="9" t="str">
        <f t="shared" si="28"/>
        <v/>
      </c>
    </row>
    <row r="743" spans="7:7" x14ac:dyDescent="0.3">
      <c r="G743" s="9" t="str">
        <f t="shared" si="28"/>
        <v/>
      </c>
    </row>
    <row r="744" spans="7:7" x14ac:dyDescent="0.3">
      <c r="G744" s="9" t="str">
        <f t="shared" si="28"/>
        <v/>
      </c>
    </row>
    <row r="745" spans="7:7" x14ac:dyDescent="0.3">
      <c r="G745" s="9" t="str">
        <f t="shared" si="28"/>
        <v/>
      </c>
    </row>
    <row r="746" spans="7:7" x14ac:dyDescent="0.3">
      <c r="G746" s="9" t="str">
        <f t="shared" si="28"/>
        <v/>
      </c>
    </row>
    <row r="747" spans="7:7" x14ac:dyDescent="0.3">
      <c r="G747" s="9" t="str">
        <f t="shared" si="28"/>
        <v/>
      </c>
    </row>
    <row r="748" spans="7:7" x14ac:dyDescent="0.3">
      <c r="G748" s="9" t="str">
        <f t="shared" si="28"/>
        <v/>
      </c>
    </row>
    <row r="749" spans="7:7" x14ac:dyDescent="0.3">
      <c r="G749" s="9" t="str">
        <f t="shared" si="28"/>
        <v/>
      </c>
    </row>
    <row r="750" spans="7:7" x14ac:dyDescent="0.3">
      <c r="G750" s="9" t="str">
        <f t="shared" si="28"/>
        <v/>
      </c>
    </row>
    <row r="751" spans="7:7" x14ac:dyDescent="0.3">
      <c r="G751" s="9" t="str">
        <f t="shared" si="28"/>
        <v/>
      </c>
    </row>
    <row r="752" spans="7:7" x14ac:dyDescent="0.3">
      <c r="G752" s="9" t="str">
        <f t="shared" si="28"/>
        <v/>
      </c>
    </row>
    <row r="753" spans="7:7" x14ac:dyDescent="0.3">
      <c r="G753" s="9" t="str">
        <f t="shared" si="28"/>
        <v/>
      </c>
    </row>
    <row r="754" spans="7:7" x14ac:dyDescent="0.3">
      <c r="G754" s="9" t="str">
        <f t="shared" si="28"/>
        <v/>
      </c>
    </row>
    <row r="755" spans="7:7" x14ac:dyDescent="0.3">
      <c r="G755" s="9" t="str">
        <f t="shared" si="28"/>
        <v/>
      </c>
    </row>
    <row r="756" spans="7:7" x14ac:dyDescent="0.3">
      <c r="G756" s="9" t="str">
        <f t="shared" si="28"/>
        <v/>
      </c>
    </row>
    <row r="757" spans="7:7" x14ac:dyDescent="0.3">
      <c r="G757" s="9" t="str">
        <f t="shared" si="28"/>
        <v/>
      </c>
    </row>
    <row r="758" spans="7:7" x14ac:dyDescent="0.3">
      <c r="G758" s="9" t="str">
        <f t="shared" si="28"/>
        <v/>
      </c>
    </row>
    <row r="759" spans="7:7" x14ac:dyDescent="0.3">
      <c r="G759" s="9" t="str">
        <f t="shared" si="28"/>
        <v/>
      </c>
    </row>
    <row r="760" spans="7:7" x14ac:dyDescent="0.3">
      <c r="G760" s="9" t="str">
        <f t="shared" si="28"/>
        <v/>
      </c>
    </row>
    <row r="761" spans="7:7" x14ac:dyDescent="0.3">
      <c r="G761" s="9" t="str">
        <f t="shared" si="28"/>
        <v/>
      </c>
    </row>
    <row r="762" spans="7:7" x14ac:dyDescent="0.3">
      <c r="G762" s="9" t="str">
        <f t="shared" si="28"/>
        <v/>
      </c>
    </row>
    <row r="763" spans="7:7" x14ac:dyDescent="0.3">
      <c r="G763" s="9" t="str">
        <f t="shared" si="28"/>
        <v/>
      </c>
    </row>
    <row r="764" spans="7:7" x14ac:dyDescent="0.3">
      <c r="G764" s="9" t="str">
        <f t="shared" si="28"/>
        <v/>
      </c>
    </row>
    <row r="765" spans="7:7" x14ac:dyDescent="0.3">
      <c r="G765" s="9" t="str">
        <f t="shared" si="28"/>
        <v/>
      </c>
    </row>
    <row r="766" spans="7:7" x14ac:dyDescent="0.3">
      <c r="G766" s="9" t="str">
        <f t="shared" si="28"/>
        <v/>
      </c>
    </row>
    <row r="767" spans="7:7" x14ac:dyDescent="0.3">
      <c r="G767" s="9" t="str">
        <f t="shared" si="28"/>
        <v/>
      </c>
    </row>
    <row r="768" spans="7:7" x14ac:dyDescent="0.3">
      <c r="G768" s="9" t="str">
        <f t="shared" si="28"/>
        <v/>
      </c>
    </row>
    <row r="769" spans="7:7" x14ac:dyDescent="0.3">
      <c r="G769" s="9" t="str">
        <f t="shared" si="28"/>
        <v/>
      </c>
    </row>
    <row r="770" spans="7:7" x14ac:dyDescent="0.3">
      <c r="G770" s="9" t="str">
        <f t="shared" si="28"/>
        <v/>
      </c>
    </row>
    <row r="771" spans="7:7" x14ac:dyDescent="0.3">
      <c r="G771" s="9" t="str">
        <f t="shared" si="28"/>
        <v/>
      </c>
    </row>
    <row r="772" spans="7:7" x14ac:dyDescent="0.3">
      <c r="G772" s="9" t="str">
        <f t="shared" si="28"/>
        <v/>
      </c>
    </row>
    <row r="773" spans="7:7" x14ac:dyDescent="0.3">
      <c r="G773" s="9" t="str">
        <f t="shared" si="28"/>
        <v/>
      </c>
    </row>
    <row r="774" spans="7:7" x14ac:dyDescent="0.3">
      <c r="G774" s="9" t="str">
        <f t="shared" si="28"/>
        <v/>
      </c>
    </row>
    <row r="775" spans="7:7" x14ac:dyDescent="0.3">
      <c r="G775" s="9" t="str">
        <f t="shared" ref="G775:G838" si="29">IF(F775="","",F775*0.21)</f>
        <v/>
      </c>
    </row>
    <row r="776" spans="7:7" x14ac:dyDescent="0.3">
      <c r="G776" s="9" t="str">
        <f t="shared" si="29"/>
        <v/>
      </c>
    </row>
    <row r="777" spans="7:7" x14ac:dyDescent="0.3">
      <c r="G777" s="9" t="str">
        <f t="shared" si="29"/>
        <v/>
      </c>
    </row>
    <row r="778" spans="7:7" x14ac:dyDescent="0.3">
      <c r="G778" s="9" t="str">
        <f t="shared" si="29"/>
        <v/>
      </c>
    </row>
    <row r="779" spans="7:7" x14ac:dyDescent="0.3">
      <c r="G779" s="9" t="str">
        <f t="shared" si="29"/>
        <v/>
      </c>
    </row>
    <row r="780" spans="7:7" x14ac:dyDescent="0.3">
      <c r="G780" s="9" t="str">
        <f t="shared" si="29"/>
        <v/>
      </c>
    </row>
    <row r="781" spans="7:7" x14ac:dyDescent="0.3">
      <c r="G781" s="9" t="str">
        <f t="shared" si="29"/>
        <v/>
      </c>
    </row>
    <row r="782" spans="7:7" x14ac:dyDescent="0.3">
      <c r="G782" s="9" t="str">
        <f t="shared" si="29"/>
        <v/>
      </c>
    </row>
    <row r="783" spans="7:7" x14ac:dyDescent="0.3">
      <c r="G783" s="9" t="str">
        <f t="shared" si="29"/>
        <v/>
      </c>
    </row>
    <row r="784" spans="7:7" x14ac:dyDescent="0.3">
      <c r="G784" s="9" t="str">
        <f t="shared" si="29"/>
        <v/>
      </c>
    </row>
    <row r="785" spans="7:7" x14ac:dyDescent="0.3">
      <c r="G785" s="9" t="str">
        <f t="shared" si="29"/>
        <v/>
      </c>
    </row>
    <row r="786" spans="7:7" x14ac:dyDescent="0.3">
      <c r="G786" s="9" t="str">
        <f t="shared" si="29"/>
        <v/>
      </c>
    </row>
    <row r="787" spans="7:7" x14ac:dyDescent="0.3">
      <c r="G787" s="9" t="str">
        <f t="shared" si="29"/>
        <v/>
      </c>
    </row>
    <row r="788" spans="7:7" x14ac:dyDescent="0.3">
      <c r="G788" s="9" t="str">
        <f t="shared" si="29"/>
        <v/>
      </c>
    </row>
    <row r="789" spans="7:7" x14ac:dyDescent="0.3">
      <c r="G789" s="9" t="str">
        <f t="shared" si="29"/>
        <v/>
      </c>
    </row>
    <row r="790" spans="7:7" x14ac:dyDescent="0.3">
      <c r="G790" s="9" t="str">
        <f t="shared" si="29"/>
        <v/>
      </c>
    </row>
    <row r="791" spans="7:7" x14ac:dyDescent="0.3">
      <c r="G791" s="9" t="str">
        <f t="shared" si="29"/>
        <v/>
      </c>
    </row>
    <row r="792" spans="7:7" x14ac:dyDescent="0.3">
      <c r="G792" s="9" t="str">
        <f t="shared" si="29"/>
        <v/>
      </c>
    </row>
    <row r="793" spans="7:7" x14ac:dyDescent="0.3">
      <c r="G793" s="9" t="str">
        <f t="shared" si="29"/>
        <v/>
      </c>
    </row>
    <row r="794" spans="7:7" x14ac:dyDescent="0.3">
      <c r="G794" s="9" t="str">
        <f t="shared" si="29"/>
        <v/>
      </c>
    </row>
    <row r="795" spans="7:7" x14ac:dyDescent="0.3">
      <c r="G795" s="9" t="str">
        <f t="shared" si="29"/>
        <v/>
      </c>
    </row>
    <row r="796" spans="7:7" x14ac:dyDescent="0.3">
      <c r="G796" s="9" t="str">
        <f t="shared" si="29"/>
        <v/>
      </c>
    </row>
    <row r="797" spans="7:7" x14ac:dyDescent="0.3">
      <c r="G797" s="9" t="str">
        <f t="shared" si="29"/>
        <v/>
      </c>
    </row>
    <row r="798" spans="7:7" x14ac:dyDescent="0.3">
      <c r="G798" s="9" t="str">
        <f t="shared" si="29"/>
        <v/>
      </c>
    </row>
    <row r="799" spans="7:7" x14ac:dyDescent="0.3">
      <c r="G799" s="9" t="str">
        <f t="shared" si="29"/>
        <v/>
      </c>
    </row>
    <row r="800" spans="7:7" x14ac:dyDescent="0.3">
      <c r="G800" s="9" t="str">
        <f t="shared" si="29"/>
        <v/>
      </c>
    </row>
    <row r="801" spans="7:7" x14ac:dyDescent="0.3">
      <c r="G801" s="9" t="str">
        <f t="shared" si="29"/>
        <v/>
      </c>
    </row>
    <row r="802" spans="7:7" x14ac:dyDescent="0.3">
      <c r="G802" s="9" t="str">
        <f t="shared" si="29"/>
        <v/>
      </c>
    </row>
    <row r="803" spans="7:7" x14ac:dyDescent="0.3">
      <c r="G803" s="9" t="str">
        <f t="shared" si="29"/>
        <v/>
      </c>
    </row>
    <row r="804" spans="7:7" x14ac:dyDescent="0.3">
      <c r="G804" s="9" t="str">
        <f t="shared" si="29"/>
        <v/>
      </c>
    </row>
    <row r="805" spans="7:7" x14ac:dyDescent="0.3">
      <c r="G805" s="9" t="str">
        <f t="shared" si="29"/>
        <v/>
      </c>
    </row>
    <row r="806" spans="7:7" x14ac:dyDescent="0.3">
      <c r="G806" s="9" t="str">
        <f t="shared" si="29"/>
        <v/>
      </c>
    </row>
    <row r="807" spans="7:7" x14ac:dyDescent="0.3">
      <c r="G807" s="9" t="str">
        <f t="shared" si="29"/>
        <v/>
      </c>
    </row>
    <row r="808" spans="7:7" x14ac:dyDescent="0.3">
      <c r="G808" s="9" t="str">
        <f t="shared" si="29"/>
        <v/>
      </c>
    </row>
    <row r="809" spans="7:7" x14ac:dyDescent="0.3">
      <c r="G809" s="9" t="str">
        <f t="shared" si="29"/>
        <v/>
      </c>
    </row>
    <row r="810" spans="7:7" x14ac:dyDescent="0.3">
      <c r="G810" s="9" t="str">
        <f t="shared" si="29"/>
        <v/>
      </c>
    </row>
    <row r="811" spans="7:7" x14ac:dyDescent="0.3">
      <c r="G811" s="9" t="str">
        <f t="shared" si="29"/>
        <v/>
      </c>
    </row>
    <row r="812" spans="7:7" x14ac:dyDescent="0.3">
      <c r="G812" s="9" t="str">
        <f t="shared" si="29"/>
        <v/>
      </c>
    </row>
    <row r="813" spans="7:7" x14ac:dyDescent="0.3">
      <c r="G813" s="9" t="str">
        <f t="shared" si="29"/>
        <v/>
      </c>
    </row>
    <row r="814" spans="7:7" x14ac:dyDescent="0.3">
      <c r="G814" s="9" t="str">
        <f t="shared" si="29"/>
        <v/>
      </c>
    </row>
    <row r="815" spans="7:7" x14ac:dyDescent="0.3">
      <c r="G815" s="9" t="str">
        <f t="shared" si="29"/>
        <v/>
      </c>
    </row>
    <row r="816" spans="7:7" x14ac:dyDescent="0.3">
      <c r="G816" s="9" t="str">
        <f t="shared" si="29"/>
        <v/>
      </c>
    </row>
    <row r="817" spans="7:7" x14ac:dyDescent="0.3">
      <c r="G817" s="9" t="str">
        <f t="shared" si="29"/>
        <v/>
      </c>
    </row>
    <row r="818" spans="7:7" x14ac:dyDescent="0.3">
      <c r="G818" s="9" t="str">
        <f t="shared" si="29"/>
        <v/>
      </c>
    </row>
    <row r="819" spans="7:7" x14ac:dyDescent="0.3">
      <c r="G819" s="9" t="str">
        <f t="shared" si="29"/>
        <v/>
      </c>
    </row>
    <row r="820" spans="7:7" x14ac:dyDescent="0.3">
      <c r="G820" s="9" t="str">
        <f t="shared" si="29"/>
        <v/>
      </c>
    </row>
    <row r="821" spans="7:7" x14ac:dyDescent="0.3">
      <c r="G821" s="9" t="str">
        <f t="shared" si="29"/>
        <v/>
      </c>
    </row>
    <row r="822" spans="7:7" x14ac:dyDescent="0.3">
      <c r="G822" s="9" t="str">
        <f t="shared" si="29"/>
        <v/>
      </c>
    </row>
    <row r="823" spans="7:7" x14ac:dyDescent="0.3">
      <c r="G823" s="9" t="str">
        <f t="shared" si="29"/>
        <v/>
      </c>
    </row>
    <row r="824" spans="7:7" x14ac:dyDescent="0.3">
      <c r="G824" s="9" t="str">
        <f t="shared" si="29"/>
        <v/>
      </c>
    </row>
    <row r="825" spans="7:7" x14ac:dyDescent="0.3">
      <c r="G825" s="9" t="str">
        <f t="shared" si="29"/>
        <v/>
      </c>
    </row>
    <row r="826" spans="7:7" x14ac:dyDescent="0.3">
      <c r="G826" s="9" t="str">
        <f t="shared" si="29"/>
        <v/>
      </c>
    </row>
    <row r="827" spans="7:7" x14ac:dyDescent="0.3">
      <c r="G827" s="9" t="str">
        <f t="shared" si="29"/>
        <v/>
      </c>
    </row>
    <row r="828" spans="7:7" x14ac:dyDescent="0.3">
      <c r="G828" s="9" t="str">
        <f t="shared" si="29"/>
        <v/>
      </c>
    </row>
    <row r="829" spans="7:7" x14ac:dyDescent="0.3">
      <c r="G829" s="9" t="str">
        <f t="shared" si="29"/>
        <v/>
      </c>
    </row>
    <row r="830" spans="7:7" x14ac:dyDescent="0.3">
      <c r="G830" s="9" t="str">
        <f t="shared" si="29"/>
        <v/>
      </c>
    </row>
    <row r="831" spans="7:7" x14ac:dyDescent="0.3">
      <c r="G831" s="9" t="str">
        <f t="shared" si="29"/>
        <v/>
      </c>
    </row>
    <row r="832" spans="7:7" x14ac:dyDescent="0.3">
      <c r="G832" s="9" t="str">
        <f t="shared" si="29"/>
        <v/>
      </c>
    </row>
    <row r="833" spans="7:7" x14ac:dyDescent="0.3">
      <c r="G833" s="9" t="str">
        <f t="shared" si="29"/>
        <v/>
      </c>
    </row>
    <row r="834" spans="7:7" x14ac:dyDescent="0.3">
      <c r="G834" s="9" t="str">
        <f t="shared" si="29"/>
        <v/>
      </c>
    </row>
    <row r="835" spans="7:7" x14ac:dyDescent="0.3">
      <c r="G835" s="9" t="str">
        <f t="shared" si="29"/>
        <v/>
      </c>
    </row>
    <row r="836" spans="7:7" x14ac:dyDescent="0.3">
      <c r="G836" s="9" t="str">
        <f t="shared" si="29"/>
        <v/>
      </c>
    </row>
    <row r="837" spans="7:7" x14ac:dyDescent="0.3">
      <c r="G837" s="9" t="str">
        <f t="shared" si="29"/>
        <v/>
      </c>
    </row>
    <row r="838" spans="7:7" x14ac:dyDescent="0.3">
      <c r="G838" s="9" t="str">
        <f t="shared" si="29"/>
        <v/>
      </c>
    </row>
    <row r="839" spans="7:7" x14ac:dyDescent="0.3">
      <c r="G839" s="9" t="str">
        <f t="shared" ref="G839:G902" si="30">IF(F839="","",F839*0.21)</f>
        <v/>
      </c>
    </row>
    <row r="840" spans="7:7" x14ac:dyDescent="0.3">
      <c r="G840" s="9" t="str">
        <f t="shared" si="30"/>
        <v/>
      </c>
    </row>
    <row r="841" spans="7:7" x14ac:dyDescent="0.3">
      <c r="G841" s="9" t="str">
        <f t="shared" si="30"/>
        <v/>
      </c>
    </row>
    <row r="842" spans="7:7" x14ac:dyDescent="0.3">
      <c r="G842" s="9" t="str">
        <f t="shared" si="30"/>
        <v/>
      </c>
    </row>
    <row r="843" spans="7:7" x14ac:dyDescent="0.3">
      <c r="G843" s="9" t="str">
        <f t="shared" si="30"/>
        <v/>
      </c>
    </row>
    <row r="844" spans="7:7" x14ac:dyDescent="0.3">
      <c r="G844" s="9" t="str">
        <f t="shared" si="30"/>
        <v/>
      </c>
    </row>
    <row r="845" spans="7:7" x14ac:dyDescent="0.3">
      <c r="G845" s="9" t="str">
        <f t="shared" si="30"/>
        <v/>
      </c>
    </row>
    <row r="846" spans="7:7" x14ac:dyDescent="0.3">
      <c r="G846" s="9" t="str">
        <f t="shared" si="30"/>
        <v/>
      </c>
    </row>
    <row r="847" spans="7:7" x14ac:dyDescent="0.3">
      <c r="G847" s="9" t="str">
        <f t="shared" si="30"/>
        <v/>
      </c>
    </row>
    <row r="848" spans="7:7" x14ac:dyDescent="0.3">
      <c r="G848" s="9" t="str">
        <f t="shared" si="30"/>
        <v/>
      </c>
    </row>
    <row r="849" spans="7:7" x14ac:dyDescent="0.3">
      <c r="G849" s="9" t="str">
        <f t="shared" si="30"/>
        <v/>
      </c>
    </row>
    <row r="850" spans="7:7" x14ac:dyDescent="0.3">
      <c r="G850" s="9" t="str">
        <f t="shared" si="30"/>
        <v/>
      </c>
    </row>
    <row r="851" spans="7:7" x14ac:dyDescent="0.3">
      <c r="G851" s="9" t="str">
        <f t="shared" si="30"/>
        <v/>
      </c>
    </row>
    <row r="852" spans="7:7" x14ac:dyDescent="0.3">
      <c r="G852" s="9" t="str">
        <f t="shared" si="30"/>
        <v/>
      </c>
    </row>
    <row r="853" spans="7:7" x14ac:dyDescent="0.3">
      <c r="G853" s="9" t="str">
        <f t="shared" si="30"/>
        <v/>
      </c>
    </row>
    <row r="854" spans="7:7" x14ac:dyDescent="0.3">
      <c r="G854" s="9" t="str">
        <f t="shared" si="30"/>
        <v/>
      </c>
    </row>
    <row r="855" spans="7:7" x14ac:dyDescent="0.3">
      <c r="G855" s="9" t="str">
        <f t="shared" si="30"/>
        <v/>
      </c>
    </row>
    <row r="856" spans="7:7" x14ac:dyDescent="0.3">
      <c r="G856" s="9" t="str">
        <f t="shared" si="30"/>
        <v/>
      </c>
    </row>
    <row r="857" spans="7:7" x14ac:dyDescent="0.3">
      <c r="G857" s="9" t="str">
        <f t="shared" si="30"/>
        <v/>
      </c>
    </row>
    <row r="858" spans="7:7" x14ac:dyDescent="0.3">
      <c r="G858" s="9" t="str">
        <f t="shared" si="30"/>
        <v/>
      </c>
    </row>
    <row r="859" spans="7:7" x14ac:dyDescent="0.3">
      <c r="G859" s="9" t="str">
        <f t="shared" si="30"/>
        <v/>
      </c>
    </row>
    <row r="860" spans="7:7" x14ac:dyDescent="0.3">
      <c r="G860" s="9" t="str">
        <f t="shared" si="30"/>
        <v/>
      </c>
    </row>
    <row r="861" spans="7:7" x14ac:dyDescent="0.3">
      <c r="G861" s="9" t="str">
        <f t="shared" si="30"/>
        <v/>
      </c>
    </row>
    <row r="862" spans="7:7" x14ac:dyDescent="0.3">
      <c r="G862" s="9" t="str">
        <f t="shared" si="30"/>
        <v/>
      </c>
    </row>
    <row r="863" spans="7:7" x14ac:dyDescent="0.3">
      <c r="G863" s="9" t="str">
        <f t="shared" si="30"/>
        <v/>
      </c>
    </row>
    <row r="864" spans="7:7" x14ac:dyDescent="0.3">
      <c r="G864" s="9" t="str">
        <f t="shared" si="30"/>
        <v/>
      </c>
    </row>
    <row r="865" spans="7:7" x14ac:dyDescent="0.3">
      <c r="G865" s="9" t="str">
        <f t="shared" si="30"/>
        <v/>
      </c>
    </row>
    <row r="866" spans="7:7" x14ac:dyDescent="0.3">
      <c r="G866" s="9" t="str">
        <f t="shared" si="30"/>
        <v/>
      </c>
    </row>
    <row r="867" spans="7:7" x14ac:dyDescent="0.3">
      <c r="G867" s="9" t="str">
        <f t="shared" si="30"/>
        <v/>
      </c>
    </row>
    <row r="868" spans="7:7" x14ac:dyDescent="0.3">
      <c r="G868" s="9" t="str">
        <f t="shared" si="30"/>
        <v/>
      </c>
    </row>
    <row r="869" spans="7:7" x14ac:dyDescent="0.3">
      <c r="G869" s="9" t="str">
        <f t="shared" si="30"/>
        <v/>
      </c>
    </row>
    <row r="870" spans="7:7" x14ac:dyDescent="0.3">
      <c r="G870" s="9" t="str">
        <f t="shared" si="30"/>
        <v/>
      </c>
    </row>
    <row r="871" spans="7:7" x14ac:dyDescent="0.3">
      <c r="G871" s="9" t="str">
        <f t="shared" si="30"/>
        <v/>
      </c>
    </row>
    <row r="872" spans="7:7" x14ac:dyDescent="0.3">
      <c r="G872" s="9" t="str">
        <f t="shared" si="30"/>
        <v/>
      </c>
    </row>
    <row r="873" spans="7:7" x14ac:dyDescent="0.3">
      <c r="G873" s="9" t="str">
        <f t="shared" si="30"/>
        <v/>
      </c>
    </row>
    <row r="874" spans="7:7" x14ac:dyDescent="0.3">
      <c r="G874" s="9" t="str">
        <f t="shared" si="30"/>
        <v/>
      </c>
    </row>
    <row r="875" spans="7:7" x14ac:dyDescent="0.3">
      <c r="G875" s="9" t="str">
        <f t="shared" si="30"/>
        <v/>
      </c>
    </row>
    <row r="876" spans="7:7" x14ac:dyDescent="0.3">
      <c r="G876" s="9" t="str">
        <f t="shared" si="30"/>
        <v/>
      </c>
    </row>
    <row r="877" spans="7:7" x14ac:dyDescent="0.3">
      <c r="G877" s="9" t="str">
        <f t="shared" si="30"/>
        <v/>
      </c>
    </row>
    <row r="878" spans="7:7" x14ac:dyDescent="0.3">
      <c r="G878" s="9" t="str">
        <f t="shared" si="30"/>
        <v/>
      </c>
    </row>
    <row r="879" spans="7:7" x14ac:dyDescent="0.3">
      <c r="G879" s="9" t="str">
        <f t="shared" si="30"/>
        <v/>
      </c>
    </row>
    <row r="880" spans="7:7" x14ac:dyDescent="0.3">
      <c r="G880" s="9" t="str">
        <f t="shared" si="30"/>
        <v/>
      </c>
    </row>
    <row r="881" spans="7:7" x14ac:dyDescent="0.3">
      <c r="G881" s="9" t="str">
        <f t="shared" si="30"/>
        <v/>
      </c>
    </row>
    <row r="882" spans="7:7" x14ac:dyDescent="0.3">
      <c r="G882" s="9" t="str">
        <f t="shared" si="30"/>
        <v/>
      </c>
    </row>
    <row r="883" spans="7:7" x14ac:dyDescent="0.3">
      <c r="G883" s="9" t="str">
        <f t="shared" si="30"/>
        <v/>
      </c>
    </row>
    <row r="884" spans="7:7" x14ac:dyDescent="0.3">
      <c r="G884" s="9" t="str">
        <f t="shared" si="30"/>
        <v/>
      </c>
    </row>
    <row r="885" spans="7:7" x14ac:dyDescent="0.3">
      <c r="G885" s="9" t="str">
        <f t="shared" si="30"/>
        <v/>
      </c>
    </row>
    <row r="886" spans="7:7" x14ac:dyDescent="0.3">
      <c r="G886" s="9" t="str">
        <f t="shared" si="30"/>
        <v/>
      </c>
    </row>
    <row r="887" spans="7:7" x14ac:dyDescent="0.3">
      <c r="G887" s="9" t="str">
        <f t="shared" si="30"/>
        <v/>
      </c>
    </row>
    <row r="888" spans="7:7" x14ac:dyDescent="0.3">
      <c r="G888" s="9" t="str">
        <f t="shared" si="30"/>
        <v/>
      </c>
    </row>
    <row r="889" spans="7:7" x14ac:dyDescent="0.3">
      <c r="G889" s="9" t="str">
        <f t="shared" si="30"/>
        <v/>
      </c>
    </row>
    <row r="890" spans="7:7" x14ac:dyDescent="0.3">
      <c r="G890" s="9" t="str">
        <f t="shared" si="30"/>
        <v/>
      </c>
    </row>
    <row r="891" spans="7:7" x14ac:dyDescent="0.3">
      <c r="G891" s="9" t="str">
        <f t="shared" si="30"/>
        <v/>
      </c>
    </row>
    <row r="892" spans="7:7" x14ac:dyDescent="0.3">
      <c r="G892" s="9" t="str">
        <f t="shared" si="30"/>
        <v/>
      </c>
    </row>
    <row r="893" spans="7:7" x14ac:dyDescent="0.3">
      <c r="G893" s="9" t="str">
        <f t="shared" si="30"/>
        <v/>
      </c>
    </row>
    <row r="894" spans="7:7" x14ac:dyDescent="0.3">
      <c r="G894" s="9" t="str">
        <f t="shared" si="30"/>
        <v/>
      </c>
    </row>
    <row r="895" spans="7:7" x14ac:dyDescent="0.3">
      <c r="G895" s="9" t="str">
        <f t="shared" si="30"/>
        <v/>
      </c>
    </row>
    <row r="896" spans="7:7" x14ac:dyDescent="0.3">
      <c r="G896" s="9" t="str">
        <f t="shared" si="30"/>
        <v/>
      </c>
    </row>
    <row r="897" spans="7:7" x14ac:dyDescent="0.3">
      <c r="G897" s="9" t="str">
        <f t="shared" si="30"/>
        <v/>
      </c>
    </row>
    <row r="898" spans="7:7" x14ac:dyDescent="0.3">
      <c r="G898" s="9" t="str">
        <f t="shared" si="30"/>
        <v/>
      </c>
    </row>
    <row r="899" spans="7:7" x14ac:dyDescent="0.3">
      <c r="G899" s="9" t="str">
        <f t="shared" si="30"/>
        <v/>
      </c>
    </row>
    <row r="900" spans="7:7" x14ac:dyDescent="0.3">
      <c r="G900" s="9" t="str">
        <f t="shared" si="30"/>
        <v/>
      </c>
    </row>
    <row r="901" spans="7:7" x14ac:dyDescent="0.3">
      <c r="G901" s="9" t="str">
        <f t="shared" si="30"/>
        <v/>
      </c>
    </row>
    <row r="902" spans="7:7" x14ac:dyDescent="0.3">
      <c r="G902" s="9" t="str">
        <f t="shared" si="30"/>
        <v/>
      </c>
    </row>
    <row r="903" spans="7:7" x14ac:dyDescent="0.3">
      <c r="G903" s="9" t="str">
        <f t="shared" ref="G903:G966" si="31">IF(F903="","",F903*0.21)</f>
        <v/>
      </c>
    </row>
    <row r="904" spans="7:7" x14ac:dyDescent="0.3">
      <c r="G904" s="9" t="str">
        <f t="shared" si="31"/>
        <v/>
      </c>
    </row>
    <row r="905" spans="7:7" x14ac:dyDescent="0.3">
      <c r="G905" s="9" t="str">
        <f t="shared" si="31"/>
        <v/>
      </c>
    </row>
    <row r="906" spans="7:7" x14ac:dyDescent="0.3">
      <c r="G906" s="9" t="str">
        <f t="shared" si="31"/>
        <v/>
      </c>
    </row>
    <row r="907" spans="7:7" x14ac:dyDescent="0.3">
      <c r="G907" s="9" t="str">
        <f t="shared" si="31"/>
        <v/>
      </c>
    </row>
    <row r="908" spans="7:7" x14ac:dyDescent="0.3">
      <c r="G908" s="9" t="str">
        <f t="shared" si="31"/>
        <v/>
      </c>
    </row>
    <row r="909" spans="7:7" x14ac:dyDescent="0.3">
      <c r="G909" s="9" t="str">
        <f t="shared" si="31"/>
        <v/>
      </c>
    </row>
    <row r="910" spans="7:7" x14ac:dyDescent="0.3">
      <c r="G910" s="9" t="str">
        <f t="shared" si="31"/>
        <v/>
      </c>
    </row>
    <row r="911" spans="7:7" x14ac:dyDescent="0.3">
      <c r="G911" s="9" t="str">
        <f t="shared" si="31"/>
        <v/>
      </c>
    </row>
    <row r="912" spans="7:7" x14ac:dyDescent="0.3">
      <c r="G912" s="9" t="str">
        <f t="shared" si="31"/>
        <v/>
      </c>
    </row>
    <row r="913" spans="7:7" x14ac:dyDescent="0.3">
      <c r="G913" s="9" t="str">
        <f t="shared" si="31"/>
        <v/>
      </c>
    </row>
    <row r="914" spans="7:7" x14ac:dyDescent="0.3">
      <c r="G914" s="9" t="str">
        <f t="shared" si="31"/>
        <v/>
      </c>
    </row>
    <row r="915" spans="7:7" x14ac:dyDescent="0.3">
      <c r="G915" s="9" t="str">
        <f t="shared" si="31"/>
        <v/>
      </c>
    </row>
    <row r="916" spans="7:7" x14ac:dyDescent="0.3">
      <c r="G916" s="9" t="str">
        <f t="shared" si="31"/>
        <v/>
      </c>
    </row>
    <row r="917" spans="7:7" x14ac:dyDescent="0.3">
      <c r="G917" s="9" t="str">
        <f t="shared" si="31"/>
        <v/>
      </c>
    </row>
    <row r="918" spans="7:7" x14ac:dyDescent="0.3">
      <c r="G918" s="9" t="str">
        <f t="shared" si="31"/>
        <v/>
      </c>
    </row>
    <row r="919" spans="7:7" x14ac:dyDescent="0.3">
      <c r="G919" s="9" t="str">
        <f t="shared" si="31"/>
        <v/>
      </c>
    </row>
    <row r="920" spans="7:7" x14ac:dyDescent="0.3">
      <c r="G920" s="9" t="str">
        <f t="shared" si="31"/>
        <v/>
      </c>
    </row>
    <row r="921" spans="7:7" x14ac:dyDescent="0.3">
      <c r="G921" s="9" t="str">
        <f t="shared" si="31"/>
        <v/>
      </c>
    </row>
    <row r="922" spans="7:7" x14ac:dyDescent="0.3">
      <c r="G922" s="9" t="str">
        <f t="shared" si="31"/>
        <v/>
      </c>
    </row>
    <row r="923" spans="7:7" x14ac:dyDescent="0.3">
      <c r="G923" s="9" t="str">
        <f t="shared" si="31"/>
        <v/>
      </c>
    </row>
    <row r="924" spans="7:7" x14ac:dyDescent="0.3">
      <c r="G924" s="9" t="str">
        <f t="shared" si="31"/>
        <v/>
      </c>
    </row>
    <row r="925" spans="7:7" x14ac:dyDescent="0.3">
      <c r="G925" s="9" t="str">
        <f t="shared" si="31"/>
        <v/>
      </c>
    </row>
    <row r="926" spans="7:7" x14ac:dyDescent="0.3">
      <c r="G926" s="9" t="str">
        <f t="shared" si="31"/>
        <v/>
      </c>
    </row>
    <row r="927" spans="7:7" x14ac:dyDescent="0.3">
      <c r="G927" s="9" t="str">
        <f t="shared" si="31"/>
        <v/>
      </c>
    </row>
    <row r="928" spans="7:7" x14ac:dyDescent="0.3">
      <c r="G928" s="9" t="str">
        <f t="shared" si="31"/>
        <v/>
      </c>
    </row>
    <row r="929" spans="7:7" x14ac:dyDescent="0.3">
      <c r="G929" s="9" t="str">
        <f t="shared" si="31"/>
        <v/>
      </c>
    </row>
    <row r="930" spans="7:7" x14ac:dyDescent="0.3">
      <c r="G930" s="9" t="str">
        <f t="shared" si="31"/>
        <v/>
      </c>
    </row>
    <row r="931" spans="7:7" x14ac:dyDescent="0.3">
      <c r="G931" s="9" t="str">
        <f t="shared" si="31"/>
        <v/>
      </c>
    </row>
    <row r="932" spans="7:7" x14ac:dyDescent="0.3">
      <c r="G932" s="9" t="str">
        <f t="shared" si="31"/>
        <v/>
      </c>
    </row>
    <row r="933" spans="7:7" x14ac:dyDescent="0.3">
      <c r="G933" s="9" t="str">
        <f t="shared" si="31"/>
        <v/>
      </c>
    </row>
    <row r="934" spans="7:7" x14ac:dyDescent="0.3">
      <c r="G934" s="9" t="str">
        <f t="shared" si="31"/>
        <v/>
      </c>
    </row>
    <row r="935" spans="7:7" x14ac:dyDescent="0.3">
      <c r="G935" s="9" t="str">
        <f t="shared" si="31"/>
        <v/>
      </c>
    </row>
    <row r="936" spans="7:7" x14ac:dyDescent="0.3">
      <c r="G936" s="9" t="str">
        <f t="shared" si="31"/>
        <v/>
      </c>
    </row>
    <row r="937" spans="7:7" x14ac:dyDescent="0.3">
      <c r="G937" s="9" t="str">
        <f t="shared" si="31"/>
        <v/>
      </c>
    </row>
    <row r="938" spans="7:7" x14ac:dyDescent="0.3">
      <c r="G938" s="9" t="str">
        <f t="shared" si="31"/>
        <v/>
      </c>
    </row>
    <row r="939" spans="7:7" x14ac:dyDescent="0.3">
      <c r="G939" s="9" t="str">
        <f t="shared" si="31"/>
        <v/>
      </c>
    </row>
    <row r="940" spans="7:7" x14ac:dyDescent="0.3">
      <c r="G940" s="9" t="str">
        <f t="shared" si="31"/>
        <v/>
      </c>
    </row>
    <row r="941" spans="7:7" x14ac:dyDescent="0.3">
      <c r="G941" s="9" t="str">
        <f t="shared" si="31"/>
        <v/>
      </c>
    </row>
    <row r="942" spans="7:7" x14ac:dyDescent="0.3">
      <c r="G942" s="9" t="str">
        <f t="shared" si="31"/>
        <v/>
      </c>
    </row>
    <row r="943" spans="7:7" x14ac:dyDescent="0.3">
      <c r="G943" s="9" t="str">
        <f t="shared" si="31"/>
        <v/>
      </c>
    </row>
    <row r="944" spans="7:7" x14ac:dyDescent="0.3">
      <c r="G944" s="9" t="str">
        <f t="shared" si="31"/>
        <v/>
      </c>
    </row>
    <row r="945" spans="7:7" x14ac:dyDescent="0.3">
      <c r="G945" s="9" t="str">
        <f t="shared" si="31"/>
        <v/>
      </c>
    </row>
    <row r="946" spans="7:7" x14ac:dyDescent="0.3">
      <c r="G946" s="9" t="str">
        <f t="shared" si="31"/>
        <v/>
      </c>
    </row>
    <row r="947" spans="7:7" x14ac:dyDescent="0.3">
      <c r="G947" s="9" t="str">
        <f t="shared" si="31"/>
        <v/>
      </c>
    </row>
    <row r="948" spans="7:7" x14ac:dyDescent="0.3">
      <c r="G948" s="9" t="str">
        <f t="shared" si="31"/>
        <v/>
      </c>
    </row>
    <row r="949" spans="7:7" x14ac:dyDescent="0.3">
      <c r="G949" s="9" t="str">
        <f t="shared" si="31"/>
        <v/>
      </c>
    </row>
    <row r="950" spans="7:7" x14ac:dyDescent="0.3">
      <c r="G950" s="9" t="str">
        <f t="shared" si="31"/>
        <v/>
      </c>
    </row>
    <row r="951" spans="7:7" x14ac:dyDescent="0.3">
      <c r="G951" s="9" t="str">
        <f t="shared" si="31"/>
        <v/>
      </c>
    </row>
    <row r="952" spans="7:7" x14ac:dyDescent="0.3">
      <c r="G952" s="9" t="str">
        <f t="shared" si="31"/>
        <v/>
      </c>
    </row>
    <row r="953" spans="7:7" x14ac:dyDescent="0.3">
      <c r="G953" s="9" t="str">
        <f t="shared" si="31"/>
        <v/>
      </c>
    </row>
    <row r="954" spans="7:7" x14ac:dyDescent="0.3">
      <c r="G954" s="9" t="str">
        <f t="shared" si="31"/>
        <v/>
      </c>
    </row>
    <row r="955" spans="7:7" x14ac:dyDescent="0.3">
      <c r="G955" s="9" t="str">
        <f t="shared" si="31"/>
        <v/>
      </c>
    </row>
    <row r="956" spans="7:7" x14ac:dyDescent="0.3">
      <c r="G956" s="9" t="str">
        <f t="shared" si="31"/>
        <v/>
      </c>
    </row>
    <row r="957" spans="7:7" x14ac:dyDescent="0.3">
      <c r="G957" s="9" t="str">
        <f t="shared" si="31"/>
        <v/>
      </c>
    </row>
    <row r="958" spans="7:7" x14ac:dyDescent="0.3">
      <c r="G958" s="9" t="str">
        <f t="shared" si="31"/>
        <v/>
      </c>
    </row>
    <row r="959" spans="7:7" x14ac:dyDescent="0.3">
      <c r="G959" s="9" t="str">
        <f t="shared" si="31"/>
        <v/>
      </c>
    </row>
    <row r="960" spans="7:7" x14ac:dyDescent="0.3">
      <c r="G960" s="9" t="str">
        <f t="shared" si="31"/>
        <v/>
      </c>
    </row>
    <row r="961" spans="7:7" x14ac:dyDescent="0.3">
      <c r="G961" s="9" t="str">
        <f t="shared" si="31"/>
        <v/>
      </c>
    </row>
    <row r="962" spans="7:7" x14ac:dyDescent="0.3">
      <c r="G962" s="9" t="str">
        <f t="shared" si="31"/>
        <v/>
      </c>
    </row>
    <row r="963" spans="7:7" x14ac:dyDescent="0.3">
      <c r="G963" s="9" t="str">
        <f t="shared" si="31"/>
        <v/>
      </c>
    </row>
    <row r="964" spans="7:7" x14ac:dyDescent="0.3">
      <c r="G964" s="9" t="str">
        <f t="shared" si="31"/>
        <v/>
      </c>
    </row>
    <row r="965" spans="7:7" x14ac:dyDescent="0.3">
      <c r="G965" s="9" t="str">
        <f t="shared" si="31"/>
        <v/>
      </c>
    </row>
    <row r="966" spans="7:7" x14ac:dyDescent="0.3">
      <c r="G966" s="9" t="str">
        <f t="shared" si="31"/>
        <v/>
      </c>
    </row>
    <row r="967" spans="7:7" x14ac:dyDescent="0.3">
      <c r="G967" s="9" t="str">
        <f t="shared" ref="G967:G1030" si="32">IF(F967="","",F967*0.21)</f>
        <v/>
      </c>
    </row>
    <row r="968" spans="7:7" x14ac:dyDescent="0.3">
      <c r="G968" s="9" t="str">
        <f t="shared" si="32"/>
        <v/>
      </c>
    </row>
    <row r="969" spans="7:7" x14ac:dyDescent="0.3">
      <c r="G969" s="9" t="str">
        <f t="shared" si="32"/>
        <v/>
      </c>
    </row>
    <row r="970" spans="7:7" x14ac:dyDescent="0.3">
      <c r="G970" s="9" t="str">
        <f t="shared" si="32"/>
        <v/>
      </c>
    </row>
    <row r="971" spans="7:7" x14ac:dyDescent="0.3">
      <c r="G971" s="9" t="str">
        <f t="shared" si="32"/>
        <v/>
      </c>
    </row>
    <row r="972" spans="7:7" x14ac:dyDescent="0.3">
      <c r="G972" s="9" t="str">
        <f t="shared" si="32"/>
        <v/>
      </c>
    </row>
    <row r="973" spans="7:7" x14ac:dyDescent="0.3">
      <c r="G973" s="9" t="str">
        <f t="shared" si="32"/>
        <v/>
      </c>
    </row>
    <row r="974" spans="7:7" x14ac:dyDescent="0.3">
      <c r="G974" s="9" t="str">
        <f t="shared" si="32"/>
        <v/>
      </c>
    </row>
    <row r="975" spans="7:7" x14ac:dyDescent="0.3">
      <c r="G975" s="9" t="str">
        <f t="shared" si="32"/>
        <v/>
      </c>
    </row>
    <row r="976" spans="7:7" x14ac:dyDescent="0.3">
      <c r="G976" s="9" t="str">
        <f t="shared" si="32"/>
        <v/>
      </c>
    </row>
    <row r="977" spans="7:7" x14ac:dyDescent="0.3">
      <c r="G977" s="9" t="str">
        <f t="shared" si="32"/>
        <v/>
      </c>
    </row>
    <row r="978" spans="7:7" x14ac:dyDescent="0.3">
      <c r="G978" s="9" t="str">
        <f t="shared" si="32"/>
        <v/>
      </c>
    </row>
    <row r="979" spans="7:7" x14ac:dyDescent="0.3">
      <c r="G979" s="9" t="str">
        <f t="shared" si="32"/>
        <v/>
      </c>
    </row>
    <row r="980" spans="7:7" x14ac:dyDescent="0.3">
      <c r="G980" s="9" t="str">
        <f t="shared" si="32"/>
        <v/>
      </c>
    </row>
    <row r="981" spans="7:7" x14ac:dyDescent="0.3">
      <c r="G981" s="9" t="str">
        <f t="shared" si="32"/>
        <v/>
      </c>
    </row>
    <row r="982" spans="7:7" x14ac:dyDescent="0.3">
      <c r="G982" s="9" t="str">
        <f t="shared" si="32"/>
        <v/>
      </c>
    </row>
    <row r="983" spans="7:7" x14ac:dyDescent="0.3">
      <c r="G983" s="9" t="str">
        <f t="shared" si="32"/>
        <v/>
      </c>
    </row>
    <row r="984" spans="7:7" x14ac:dyDescent="0.3">
      <c r="G984" s="9" t="str">
        <f t="shared" si="32"/>
        <v/>
      </c>
    </row>
    <row r="985" spans="7:7" x14ac:dyDescent="0.3">
      <c r="G985" s="9" t="str">
        <f t="shared" si="32"/>
        <v/>
      </c>
    </row>
    <row r="986" spans="7:7" x14ac:dyDescent="0.3">
      <c r="G986" s="9" t="str">
        <f t="shared" si="32"/>
        <v/>
      </c>
    </row>
    <row r="987" spans="7:7" x14ac:dyDescent="0.3">
      <c r="G987" s="9" t="str">
        <f t="shared" si="32"/>
        <v/>
      </c>
    </row>
    <row r="988" spans="7:7" x14ac:dyDescent="0.3">
      <c r="G988" s="9" t="str">
        <f t="shared" si="32"/>
        <v/>
      </c>
    </row>
    <row r="989" spans="7:7" x14ac:dyDescent="0.3">
      <c r="G989" s="9" t="str">
        <f t="shared" si="32"/>
        <v/>
      </c>
    </row>
    <row r="990" spans="7:7" x14ac:dyDescent="0.3">
      <c r="G990" s="9" t="str">
        <f t="shared" si="32"/>
        <v/>
      </c>
    </row>
    <row r="991" spans="7:7" x14ac:dyDescent="0.3">
      <c r="G991" s="9" t="str">
        <f t="shared" si="32"/>
        <v/>
      </c>
    </row>
    <row r="992" spans="7:7" x14ac:dyDescent="0.3">
      <c r="G992" s="9" t="str">
        <f t="shared" si="32"/>
        <v/>
      </c>
    </row>
    <row r="993" spans="7:7" x14ac:dyDescent="0.3">
      <c r="G993" s="9" t="str">
        <f t="shared" si="32"/>
        <v/>
      </c>
    </row>
    <row r="994" spans="7:7" x14ac:dyDescent="0.3">
      <c r="G994" s="9" t="str">
        <f t="shared" si="32"/>
        <v/>
      </c>
    </row>
    <row r="995" spans="7:7" x14ac:dyDescent="0.3">
      <c r="G995" s="9" t="str">
        <f t="shared" si="32"/>
        <v/>
      </c>
    </row>
    <row r="996" spans="7:7" x14ac:dyDescent="0.3">
      <c r="G996" s="9" t="str">
        <f t="shared" si="32"/>
        <v/>
      </c>
    </row>
    <row r="997" spans="7:7" x14ac:dyDescent="0.3">
      <c r="G997" s="9" t="str">
        <f t="shared" si="32"/>
        <v/>
      </c>
    </row>
    <row r="998" spans="7:7" x14ac:dyDescent="0.3">
      <c r="G998" s="9" t="str">
        <f t="shared" si="32"/>
        <v/>
      </c>
    </row>
    <row r="999" spans="7:7" x14ac:dyDescent="0.3">
      <c r="G999" s="9" t="str">
        <f t="shared" si="32"/>
        <v/>
      </c>
    </row>
    <row r="1000" spans="7:7" x14ac:dyDescent="0.3">
      <c r="G1000" s="9" t="str">
        <f t="shared" si="32"/>
        <v/>
      </c>
    </row>
    <row r="1001" spans="7:7" x14ac:dyDescent="0.3">
      <c r="G1001" s="9" t="str">
        <f t="shared" si="32"/>
        <v/>
      </c>
    </row>
    <row r="1002" spans="7:7" x14ac:dyDescent="0.3">
      <c r="G1002" s="9" t="str">
        <f t="shared" si="32"/>
        <v/>
      </c>
    </row>
    <row r="1003" spans="7:7" x14ac:dyDescent="0.3">
      <c r="G1003" s="9" t="str">
        <f t="shared" si="32"/>
        <v/>
      </c>
    </row>
    <row r="1004" spans="7:7" x14ac:dyDescent="0.3">
      <c r="G1004" s="9" t="str">
        <f t="shared" si="32"/>
        <v/>
      </c>
    </row>
    <row r="1005" spans="7:7" x14ac:dyDescent="0.3">
      <c r="G1005" s="9" t="str">
        <f t="shared" si="32"/>
        <v/>
      </c>
    </row>
    <row r="1006" spans="7:7" x14ac:dyDescent="0.3">
      <c r="G1006" s="9" t="str">
        <f t="shared" si="32"/>
        <v/>
      </c>
    </row>
    <row r="1007" spans="7:7" x14ac:dyDescent="0.3">
      <c r="G1007" s="9" t="str">
        <f t="shared" si="32"/>
        <v/>
      </c>
    </row>
    <row r="1008" spans="7:7" x14ac:dyDescent="0.3">
      <c r="G1008" s="9" t="str">
        <f t="shared" si="32"/>
        <v/>
      </c>
    </row>
    <row r="1009" spans="7:7" x14ac:dyDescent="0.3">
      <c r="G1009" s="9" t="str">
        <f t="shared" si="32"/>
        <v/>
      </c>
    </row>
    <row r="1010" spans="7:7" x14ac:dyDescent="0.3">
      <c r="G1010" s="9" t="str">
        <f t="shared" si="32"/>
        <v/>
      </c>
    </row>
    <row r="1011" spans="7:7" x14ac:dyDescent="0.3">
      <c r="G1011" s="9" t="str">
        <f t="shared" si="32"/>
        <v/>
      </c>
    </row>
    <row r="1012" spans="7:7" x14ac:dyDescent="0.3">
      <c r="G1012" s="9" t="str">
        <f t="shared" si="32"/>
        <v/>
      </c>
    </row>
    <row r="1013" spans="7:7" x14ac:dyDescent="0.3">
      <c r="G1013" s="9" t="str">
        <f t="shared" si="32"/>
        <v/>
      </c>
    </row>
    <row r="1014" spans="7:7" x14ac:dyDescent="0.3">
      <c r="G1014" s="9" t="str">
        <f t="shared" si="32"/>
        <v/>
      </c>
    </row>
    <row r="1015" spans="7:7" x14ac:dyDescent="0.3">
      <c r="G1015" s="9" t="str">
        <f t="shared" si="32"/>
        <v/>
      </c>
    </row>
    <row r="1016" spans="7:7" x14ac:dyDescent="0.3">
      <c r="G1016" s="9" t="str">
        <f t="shared" si="32"/>
        <v/>
      </c>
    </row>
    <row r="1017" spans="7:7" x14ac:dyDescent="0.3">
      <c r="G1017" s="9" t="str">
        <f t="shared" si="32"/>
        <v/>
      </c>
    </row>
    <row r="1018" spans="7:7" x14ac:dyDescent="0.3">
      <c r="G1018" s="9" t="str">
        <f t="shared" si="32"/>
        <v/>
      </c>
    </row>
    <row r="1019" spans="7:7" x14ac:dyDescent="0.3">
      <c r="G1019" s="9" t="str">
        <f t="shared" si="32"/>
        <v/>
      </c>
    </row>
    <row r="1020" spans="7:7" x14ac:dyDescent="0.3">
      <c r="G1020" s="9" t="str">
        <f t="shared" si="32"/>
        <v/>
      </c>
    </row>
    <row r="1021" spans="7:7" x14ac:dyDescent="0.3">
      <c r="G1021" s="9" t="str">
        <f t="shared" si="32"/>
        <v/>
      </c>
    </row>
    <row r="1022" spans="7:7" x14ac:dyDescent="0.3">
      <c r="G1022" s="9" t="str">
        <f t="shared" si="32"/>
        <v/>
      </c>
    </row>
    <row r="1023" spans="7:7" x14ac:dyDescent="0.3">
      <c r="G1023" s="9" t="str">
        <f t="shared" si="32"/>
        <v/>
      </c>
    </row>
    <row r="1024" spans="7:7" x14ac:dyDescent="0.3">
      <c r="G1024" s="9" t="str">
        <f t="shared" si="32"/>
        <v/>
      </c>
    </row>
    <row r="1025" spans="7:7" x14ac:dyDescent="0.3">
      <c r="G1025" s="9" t="str">
        <f t="shared" si="32"/>
        <v/>
      </c>
    </row>
    <row r="1026" spans="7:7" x14ac:dyDescent="0.3">
      <c r="G1026" s="9" t="str">
        <f t="shared" si="32"/>
        <v/>
      </c>
    </row>
    <row r="1027" spans="7:7" x14ac:dyDescent="0.3">
      <c r="G1027" s="9" t="str">
        <f t="shared" si="32"/>
        <v/>
      </c>
    </row>
    <row r="1028" spans="7:7" x14ac:dyDescent="0.3">
      <c r="G1028" s="9" t="str">
        <f t="shared" si="32"/>
        <v/>
      </c>
    </row>
    <row r="1029" spans="7:7" x14ac:dyDescent="0.3">
      <c r="G1029" s="9" t="str">
        <f t="shared" si="32"/>
        <v/>
      </c>
    </row>
    <row r="1030" spans="7:7" x14ac:dyDescent="0.3">
      <c r="G1030" s="9" t="str">
        <f t="shared" si="32"/>
        <v/>
      </c>
    </row>
    <row r="1031" spans="7:7" x14ac:dyDescent="0.3">
      <c r="G1031" s="9" t="str">
        <f t="shared" ref="G1031:G1094" si="33">IF(F1031="","",F1031*0.21)</f>
        <v/>
      </c>
    </row>
    <row r="1032" spans="7:7" x14ac:dyDescent="0.3">
      <c r="G1032" s="9" t="str">
        <f t="shared" si="33"/>
        <v/>
      </c>
    </row>
    <row r="1033" spans="7:7" x14ac:dyDescent="0.3">
      <c r="G1033" s="9" t="str">
        <f t="shared" si="33"/>
        <v/>
      </c>
    </row>
    <row r="1034" spans="7:7" x14ac:dyDescent="0.3">
      <c r="G1034" s="9" t="str">
        <f t="shared" si="33"/>
        <v/>
      </c>
    </row>
    <row r="1035" spans="7:7" x14ac:dyDescent="0.3">
      <c r="G1035" s="9" t="str">
        <f t="shared" si="33"/>
        <v/>
      </c>
    </row>
    <row r="1036" spans="7:7" x14ac:dyDescent="0.3">
      <c r="G1036" s="9" t="str">
        <f t="shared" si="33"/>
        <v/>
      </c>
    </row>
    <row r="1037" spans="7:7" x14ac:dyDescent="0.3">
      <c r="G1037" s="9" t="str">
        <f t="shared" si="33"/>
        <v/>
      </c>
    </row>
    <row r="1038" spans="7:7" x14ac:dyDescent="0.3">
      <c r="G1038" s="9" t="str">
        <f t="shared" si="33"/>
        <v/>
      </c>
    </row>
    <row r="1039" spans="7:7" x14ac:dyDescent="0.3">
      <c r="G1039" s="9" t="str">
        <f t="shared" si="33"/>
        <v/>
      </c>
    </row>
    <row r="1040" spans="7:7" x14ac:dyDescent="0.3">
      <c r="G1040" s="9" t="str">
        <f t="shared" si="33"/>
        <v/>
      </c>
    </row>
    <row r="1041" spans="7:7" x14ac:dyDescent="0.3">
      <c r="G1041" s="9" t="str">
        <f t="shared" si="33"/>
        <v/>
      </c>
    </row>
    <row r="1042" spans="7:7" x14ac:dyDescent="0.3">
      <c r="G1042" s="9" t="str">
        <f t="shared" si="33"/>
        <v/>
      </c>
    </row>
    <row r="1043" spans="7:7" x14ac:dyDescent="0.3">
      <c r="G1043" s="9" t="str">
        <f t="shared" si="33"/>
        <v/>
      </c>
    </row>
    <row r="1044" spans="7:7" x14ac:dyDescent="0.3">
      <c r="G1044" s="9" t="str">
        <f t="shared" si="33"/>
        <v/>
      </c>
    </row>
    <row r="1045" spans="7:7" x14ac:dyDescent="0.3">
      <c r="G1045" s="9" t="str">
        <f t="shared" si="33"/>
        <v/>
      </c>
    </row>
    <row r="1046" spans="7:7" x14ac:dyDescent="0.3">
      <c r="G1046" s="9" t="str">
        <f t="shared" si="33"/>
        <v/>
      </c>
    </row>
    <row r="1047" spans="7:7" x14ac:dyDescent="0.3">
      <c r="G1047" s="9" t="str">
        <f t="shared" si="33"/>
        <v/>
      </c>
    </row>
    <row r="1048" spans="7:7" x14ac:dyDescent="0.3">
      <c r="G1048" s="9" t="str">
        <f t="shared" si="33"/>
        <v/>
      </c>
    </row>
    <row r="1049" spans="7:7" x14ac:dyDescent="0.3">
      <c r="G1049" s="9" t="str">
        <f t="shared" si="33"/>
        <v/>
      </c>
    </row>
    <row r="1050" spans="7:7" x14ac:dyDescent="0.3">
      <c r="G1050" s="9" t="str">
        <f t="shared" si="33"/>
        <v/>
      </c>
    </row>
    <row r="1051" spans="7:7" x14ac:dyDescent="0.3">
      <c r="G1051" s="9" t="str">
        <f t="shared" si="33"/>
        <v/>
      </c>
    </row>
    <row r="1052" spans="7:7" x14ac:dyDescent="0.3">
      <c r="G1052" s="9" t="str">
        <f t="shared" si="33"/>
        <v/>
      </c>
    </row>
    <row r="1053" spans="7:7" x14ac:dyDescent="0.3">
      <c r="G1053" s="9" t="str">
        <f t="shared" si="33"/>
        <v/>
      </c>
    </row>
    <row r="1054" spans="7:7" x14ac:dyDescent="0.3">
      <c r="G1054" s="9" t="str">
        <f t="shared" si="33"/>
        <v/>
      </c>
    </row>
    <row r="1055" spans="7:7" x14ac:dyDescent="0.3">
      <c r="G1055" s="9" t="str">
        <f t="shared" si="33"/>
        <v/>
      </c>
    </row>
    <row r="1056" spans="7:7" x14ac:dyDescent="0.3">
      <c r="G1056" s="9" t="str">
        <f t="shared" si="33"/>
        <v/>
      </c>
    </row>
    <row r="1057" spans="7:7" x14ac:dyDescent="0.3">
      <c r="G1057" s="9" t="str">
        <f t="shared" si="33"/>
        <v/>
      </c>
    </row>
    <row r="1058" spans="7:7" x14ac:dyDescent="0.3">
      <c r="G1058" s="9" t="str">
        <f t="shared" si="33"/>
        <v/>
      </c>
    </row>
    <row r="1059" spans="7:7" x14ac:dyDescent="0.3">
      <c r="G1059" s="9" t="str">
        <f t="shared" si="33"/>
        <v/>
      </c>
    </row>
    <row r="1060" spans="7:7" x14ac:dyDescent="0.3">
      <c r="G1060" s="9" t="str">
        <f t="shared" si="33"/>
        <v/>
      </c>
    </row>
    <row r="1061" spans="7:7" x14ac:dyDescent="0.3">
      <c r="G1061" s="9" t="str">
        <f t="shared" si="33"/>
        <v/>
      </c>
    </row>
    <row r="1062" spans="7:7" x14ac:dyDescent="0.3">
      <c r="G1062" s="9" t="str">
        <f t="shared" si="33"/>
        <v/>
      </c>
    </row>
    <row r="1063" spans="7:7" x14ac:dyDescent="0.3">
      <c r="G1063" s="9" t="str">
        <f t="shared" si="33"/>
        <v/>
      </c>
    </row>
    <row r="1064" spans="7:7" x14ac:dyDescent="0.3">
      <c r="G1064" s="9" t="str">
        <f t="shared" si="33"/>
        <v/>
      </c>
    </row>
    <row r="1065" spans="7:7" x14ac:dyDescent="0.3">
      <c r="G1065" s="9" t="str">
        <f t="shared" si="33"/>
        <v/>
      </c>
    </row>
    <row r="1066" spans="7:7" x14ac:dyDescent="0.3">
      <c r="G1066" s="9" t="str">
        <f t="shared" si="33"/>
        <v/>
      </c>
    </row>
    <row r="1067" spans="7:7" x14ac:dyDescent="0.3">
      <c r="G1067" s="9" t="str">
        <f t="shared" si="33"/>
        <v/>
      </c>
    </row>
    <row r="1068" spans="7:7" x14ac:dyDescent="0.3">
      <c r="G1068" s="9" t="str">
        <f t="shared" si="33"/>
        <v/>
      </c>
    </row>
    <row r="1069" spans="7:7" x14ac:dyDescent="0.3">
      <c r="G1069" s="9" t="str">
        <f t="shared" si="33"/>
        <v/>
      </c>
    </row>
    <row r="1070" spans="7:7" x14ac:dyDescent="0.3">
      <c r="G1070" s="9" t="str">
        <f t="shared" si="33"/>
        <v/>
      </c>
    </row>
    <row r="1071" spans="7:7" x14ac:dyDescent="0.3">
      <c r="G1071" s="9" t="str">
        <f t="shared" si="33"/>
        <v/>
      </c>
    </row>
    <row r="1072" spans="7:7" x14ac:dyDescent="0.3">
      <c r="G1072" s="9" t="str">
        <f t="shared" si="33"/>
        <v/>
      </c>
    </row>
    <row r="1073" spans="7:7" x14ac:dyDescent="0.3">
      <c r="G1073" s="9" t="str">
        <f t="shared" si="33"/>
        <v/>
      </c>
    </row>
    <row r="1074" spans="7:7" x14ac:dyDescent="0.3">
      <c r="G1074" s="9" t="str">
        <f t="shared" si="33"/>
        <v/>
      </c>
    </row>
    <row r="1075" spans="7:7" x14ac:dyDescent="0.3">
      <c r="G1075" s="9" t="str">
        <f t="shared" si="33"/>
        <v/>
      </c>
    </row>
    <row r="1076" spans="7:7" x14ac:dyDescent="0.3">
      <c r="G1076" s="9" t="str">
        <f t="shared" si="33"/>
        <v/>
      </c>
    </row>
    <row r="1077" spans="7:7" x14ac:dyDescent="0.3">
      <c r="G1077" s="9" t="str">
        <f t="shared" si="33"/>
        <v/>
      </c>
    </row>
    <row r="1078" spans="7:7" x14ac:dyDescent="0.3">
      <c r="G1078" s="9" t="str">
        <f t="shared" si="33"/>
        <v/>
      </c>
    </row>
    <row r="1079" spans="7:7" x14ac:dyDescent="0.3">
      <c r="G1079" s="9" t="str">
        <f t="shared" si="33"/>
        <v/>
      </c>
    </row>
    <row r="1080" spans="7:7" x14ac:dyDescent="0.3">
      <c r="G1080" s="9" t="str">
        <f t="shared" si="33"/>
        <v/>
      </c>
    </row>
    <row r="1081" spans="7:7" x14ac:dyDescent="0.3">
      <c r="G1081" s="9" t="str">
        <f t="shared" si="33"/>
        <v/>
      </c>
    </row>
    <row r="1082" spans="7:7" x14ac:dyDescent="0.3">
      <c r="G1082" s="9" t="str">
        <f t="shared" si="33"/>
        <v/>
      </c>
    </row>
    <row r="1083" spans="7:7" x14ac:dyDescent="0.3">
      <c r="G1083" s="9" t="str">
        <f t="shared" si="33"/>
        <v/>
      </c>
    </row>
    <row r="1084" spans="7:7" x14ac:dyDescent="0.3">
      <c r="G1084" s="9" t="str">
        <f t="shared" si="33"/>
        <v/>
      </c>
    </row>
    <row r="1085" spans="7:7" x14ac:dyDescent="0.3">
      <c r="G1085" s="9" t="str">
        <f t="shared" si="33"/>
        <v/>
      </c>
    </row>
    <row r="1086" spans="7:7" x14ac:dyDescent="0.3">
      <c r="G1086" s="9" t="str">
        <f t="shared" si="33"/>
        <v/>
      </c>
    </row>
    <row r="1087" spans="7:7" x14ac:dyDescent="0.3">
      <c r="G1087" s="9" t="str">
        <f t="shared" si="33"/>
        <v/>
      </c>
    </row>
    <row r="1088" spans="7:7" x14ac:dyDescent="0.3">
      <c r="G1088" s="9" t="str">
        <f t="shared" si="33"/>
        <v/>
      </c>
    </row>
    <row r="1089" spans="7:7" x14ac:dyDescent="0.3">
      <c r="G1089" s="9" t="str">
        <f t="shared" si="33"/>
        <v/>
      </c>
    </row>
    <row r="1090" spans="7:7" x14ac:dyDescent="0.3">
      <c r="G1090" s="9" t="str">
        <f t="shared" si="33"/>
        <v/>
      </c>
    </row>
    <row r="1091" spans="7:7" x14ac:dyDescent="0.3">
      <c r="G1091" s="9" t="str">
        <f t="shared" si="33"/>
        <v/>
      </c>
    </row>
    <row r="1092" spans="7:7" x14ac:dyDescent="0.3">
      <c r="G1092" s="9" t="str">
        <f t="shared" si="33"/>
        <v/>
      </c>
    </row>
    <row r="1093" spans="7:7" x14ac:dyDescent="0.3">
      <c r="G1093" s="9" t="str">
        <f t="shared" si="33"/>
        <v/>
      </c>
    </row>
    <row r="1094" spans="7:7" x14ac:dyDescent="0.3">
      <c r="G1094" s="9" t="str">
        <f t="shared" si="33"/>
        <v/>
      </c>
    </row>
    <row r="1095" spans="7:7" x14ac:dyDescent="0.3">
      <c r="G1095" s="9" t="str">
        <f t="shared" ref="G1095:G1158" si="34">IF(F1095="","",F1095*0.21)</f>
        <v/>
      </c>
    </row>
    <row r="1096" spans="7:7" x14ac:dyDescent="0.3">
      <c r="G1096" s="9" t="str">
        <f t="shared" si="34"/>
        <v/>
      </c>
    </row>
    <row r="1097" spans="7:7" x14ac:dyDescent="0.3">
      <c r="G1097" s="9" t="str">
        <f t="shared" si="34"/>
        <v/>
      </c>
    </row>
    <row r="1098" spans="7:7" x14ac:dyDescent="0.3">
      <c r="G1098" s="9" t="str">
        <f t="shared" si="34"/>
        <v/>
      </c>
    </row>
    <row r="1099" spans="7:7" x14ac:dyDescent="0.3">
      <c r="G1099" s="9" t="str">
        <f t="shared" si="34"/>
        <v/>
      </c>
    </row>
    <row r="1100" spans="7:7" x14ac:dyDescent="0.3">
      <c r="G1100" s="9" t="str">
        <f t="shared" si="34"/>
        <v/>
      </c>
    </row>
    <row r="1101" spans="7:7" x14ac:dyDescent="0.3">
      <c r="G1101" s="9" t="str">
        <f t="shared" si="34"/>
        <v/>
      </c>
    </row>
    <row r="1102" spans="7:7" x14ac:dyDescent="0.3">
      <c r="G1102" s="9" t="str">
        <f t="shared" si="34"/>
        <v/>
      </c>
    </row>
    <row r="1103" spans="7:7" x14ac:dyDescent="0.3">
      <c r="G1103" s="9" t="str">
        <f t="shared" si="34"/>
        <v/>
      </c>
    </row>
    <row r="1104" spans="7:7" x14ac:dyDescent="0.3">
      <c r="G1104" s="9" t="str">
        <f t="shared" si="34"/>
        <v/>
      </c>
    </row>
    <row r="1105" spans="7:7" x14ac:dyDescent="0.3">
      <c r="G1105" s="9" t="str">
        <f t="shared" si="34"/>
        <v/>
      </c>
    </row>
    <row r="1106" spans="7:7" x14ac:dyDescent="0.3">
      <c r="G1106" s="9" t="str">
        <f t="shared" si="34"/>
        <v/>
      </c>
    </row>
    <row r="1107" spans="7:7" x14ac:dyDescent="0.3">
      <c r="G1107" s="9" t="str">
        <f t="shared" si="34"/>
        <v/>
      </c>
    </row>
    <row r="1108" spans="7:7" x14ac:dyDescent="0.3">
      <c r="G1108" s="9" t="str">
        <f t="shared" si="34"/>
        <v/>
      </c>
    </row>
    <row r="1109" spans="7:7" x14ac:dyDescent="0.3">
      <c r="G1109" s="9" t="str">
        <f t="shared" si="34"/>
        <v/>
      </c>
    </row>
    <row r="1110" spans="7:7" x14ac:dyDescent="0.3">
      <c r="G1110" s="9" t="str">
        <f t="shared" si="34"/>
        <v/>
      </c>
    </row>
    <row r="1111" spans="7:7" x14ac:dyDescent="0.3">
      <c r="G1111" s="9" t="str">
        <f t="shared" si="34"/>
        <v/>
      </c>
    </row>
    <row r="1112" spans="7:7" x14ac:dyDescent="0.3">
      <c r="G1112" s="9" t="str">
        <f t="shared" si="34"/>
        <v/>
      </c>
    </row>
    <row r="1113" spans="7:7" x14ac:dyDescent="0.3">
      <c r="G1113" s="9" t="str">
        <f t="shared" si="34"/>
        <v/>
      </c>
    </row>
    <row r="1114" spans="7:7" x14ac:dyDescent="0.3">
      <c r="G1114" s="9" t="str">
        <f t="shared" si="34"/>
        <v/>
      </c>
    </row>
    <row r="1115" spans="7:7" x14ac:dyDescent="0.3">
      <c r="G1115" s="9" t="str">
        <f t="shared" si="34"/>
        <v/>
      </c>
    </row>
    <row r="1116" spans="7:7" x14ac:dyDescent="0.3">
      <c r="G1116" s="9" t="str">
        <f t="shared" si="34"/>
        <v/>
      </c>
    </row>
    <row r="1117" spans="7:7" x14ac:dyDescent="0.3">
      <c r="G1117" s="9" t="str">
        <f t="shared" si="34"/>
        <v/>
      </c>
    </row>
    <row r="1118" spans="7:7" x14ac:dyDescent="0.3">
      <c r="G1118" s="9" t="str">
        <f t="shared" si="34"/>
        <v/>
      </c>
    </row>
    <row r="1119" spans="7:7" x14ac:dyDescent="0.3">
      <c r="G1119" s="9" t="str">
        <f t="shared" si="34"/>
        <v/>
      </c>
    </row>
    <row r="1120" spans="7:7" x14ac:dyDescent="0.3">
      <c r="G1120" s="9" t="str">
        <f t="shared" si="34"/>
        <v/>
      </c>
    </row>
    <row r="1121" spans="7:7" x14ac:dyDescent="0.3">
      <c r="G1121" s="9" t="str">
        <f t="shared" si="34"/>
        <v/>
      </c>
    </row>
    <row r="1122" spans="7:7" x14ac:dyDescent="0.3">
      <c r="G1122" s="9" t="str">
        <f t="shared" si="34"/>
        <v/>
      </c>
    </row>
    <row r="1123" spans="7:7" x14ac:dyDescent="0.3">
      <c r="G1123" s="9" t="str">
        <f t="shared" si="34"/>
        <v/>
      </c>
    </row>
    <row r="1124" spans="7:7" x14ac:dyDescent="0.3">
      <c r="G1124" s="9" t="str">
        <f t="shared" si="34"/>
        <v/>
      </c>
    </row>
    <row r="1125" spans="7:7" x14ac:dyDescent="0.3">
      <c r="G1125" s="9" t="str">
        <f t="shared" si="34"/>
        <v/>
      </c>
    </row>
    <row r="1126" spans="7:7" x14ac:dyDescent="0.3">
      <c r="G1126" s="9" t="str">
        <f t="shared" si="34"/>
        <v/>
      </c>
    </row>
    <row r="1127" spans="7:7" x14ac:dyDescent="0.3">
      <c r="G1127" s="9" t="str">
        <f t="shared" si="34"/>
        <v/>
      </c>
    </row>
    <row r="1128" spans="7:7" x14ac:dyDescent="0.3">
      <c r="G1128" s="9" t="str">
        <f t="shared" si="34"/>
        <v/>
      </c>
    </row>
    <row r="1129" spans="7:7" x14ac:dyDescent="0.3">
      <c r="G1129" s="9" t="str">
        <f t="shared" si="34"/>
        <v/>
      </c>
    </row>
    <row r="1130" spans="7:7" x14ac:dyDescent="0.3">
      <c r="G1130" s="9" t="str">
        <f t="shared" si="34"/>
        <v/>
      </c>
    </row>
    <row r="1131" spans="7:7" x14ac:dyDescent="0.3">
      <c r="G1131" s="9" t="str">
        <f t="shared" si="34"/>
        <v/>
      </c>
    </row>
    <row r="1132" spans="7:7" x14ac:dyDescent="0.3">
      <c r="G1132" s="9" t="str">
        <f t="shared" si="34"/>
        <v/>
      </c>
    </row>
    <row r="1133" spans="7:7" x14ac:dyDescent="0.3">
      <c r="G1133" s="9" t="str">
        <f t="shared" si="34"/>
        <v/>
      </c>
    </row>
    <row r="1134" spans="7:7" x14ac:dyDescent="0.3">
      <c r="G1134" s="9" t="str">
        <f t="shared" si="34"/>
        <v/>
      </c>
    </row>
    <row r="1135" spans="7:7" x14ac:dyDescent="0.3">
      <c r="G1135" s="9" t="str">
        <f t="shared" si="34"/>
        <v/>
      </c>
    </row>
    <row r="1136" spans="7:7" x14ac:dyDescent="0.3">
      <c r="G1136" s="9" t="str">
        <f t="shared" si="34"/>
        <v/>
      </c>
    </row>
    <row r="1137" spans="7:7" x14ac:dyDescent="0.3">
      <c r="G1137" s="9" t="str">
        <f t="shared" si="34"/>
        <v/>
      </c>
    </row>
    <row r="1138" spans="7:7" x14ac:dyDescent="0.3">
      <c r="G1138" s="9" t="str">
        <f t="shared" si="34"/>
        <v/>
      </c>
    </row>
    <row r="1139" spans="7:7" x14ac:dyDescent="0.3">
      <c r="G1139" s="9" t="str">
        <f t="shared" si="34"/>
        <v/>
      </c>
    </row>
    <row r="1140" spans="7:7" x14ac:dyDescent="0.3">
      <c r="G1140" s="9" t="str">
        <f t="shared" si="34"/>
        <v/>
      </c>
    </row>
    <row r="1141" spans="7:7" x14ac:dyDescent="0.3">
      <c r="G1141" s="9" t="str">
        <f t="shared" si="34"/>
        <v/>
      </c>
    </row>
    <row r="1142" spans="7:7" x14ac:dyDescent="0.3">
      <c r="G1142" s="9" t="str">
        <f t="shared" si="34"/>
        <v/>
      </c>
    </row>
    <row r="1143" spans="7:7" x14ac:dyDescent="0.3">
      <c r="G1143" s="9" t="str">
        <f t="shared" si="34"/>
        <v/>
      </c>
    </row>
    <row r="1144" spans="7:7" x14ac:dyDescent="0.3">
      <c r="G1144" s="9" t="str">
        <f t="shared" si="34"/>
        <v/>
      </c>
    </row>
    <row r="1145" spans="7:7" x14ac:dyDescent="0.3">
      <c r="G1145" s="9" t="str">
        <f t="shared" si="34"/>
        <v/>
      </c>
    </row>
    <row r="1146" spans="7:7" x14ac:dyDescent="0.3">
      <c r="G1146" s="9" t="str">
        <f t="shared" si="34"/>
        <v/>
      </c>
    </row>
    <row r="1147" spans="7:7" x14ac:dyDescent="0.3">
      <c r="G1147" s="9" t="str">
        <f t="shared" si="34"/>
        <v/>
      </c>
    </row>
    <row r="1148" spans="7:7" x14ac:dyDescent="0.3">
      <c r="G1148" s="9" t="str">
        <f t="shared" si="34"/>
        <v/>
      </c>
    </row>
    <row r="1149" spans="7:7" x14ac:dyDescent="0.3">
      <c r="G1149" s="9" t="str">
        <f t="shared" si="34"/>
        <v/>
      </c>
    </row>
    <row r="1150" spans="7:7" x14ac:dyDescent="0.3">
      <c r="G1150" s="9" t="str">
        <f t="shared" si="34"/>
        <v/>
      </c>
    </row>
    <row r="1151" spans="7:7" x14ac:dyDescent="0.3">
      <c r="G1151" s="9" t="str">
        <f t="shared" si="34"/>
        <v/>
      </c>
    </row>
    <row r="1152" spans="7:7" x14ac:dyDescent="0.3">
      <c r="G1152" s="9" t="str">
        <f t="shared" si="34"/>
        <v/>
      </c>
    </row>
    <row r="1153" spans="7:7" x14ac:dyDescent="0.3">
      <c r="G1153" s="9" t="str">
        <f t="shared" si="34"/>
        <v/>
      </c>
    </row>
    <row r="1154" spans="7:7" x14ac:dyDescent="0.3">
      <c r="G1154" s="9" t="str">
        <f t="shared" si="34"/>
        <v/>
      </c>
    </row>
    <row r="1155" spans="7:7" x14ac:dyDescent="0.3">
      <c r="G1155" s="9" t="str">
        <f t="shared" si="34"/>
        <v/>
      </c>
    </row>
    <row r="1156" spans="7:7" x14ac:dyDescent="0.3">
      <c r="G1156" s="9" t="str">
        <f t="shared" si="34"/>
        <v/>
      </c>
    </row>
    <row r="1157" spans="7:7" x14ac:dyDescent="0.3">
      <c r="G1157" s="9" t="str">
        <f t="shared" si="34"/>
        <v/>
      </c>
    </row>
    <row r="1158" spans="7:7" x14ac:dyDescent="0.3">
      <c r="G1158" s="9" t="str">
        <f t="shared" si="34"/>
        <v/>
      </c>
    </row>
    <row r="1159" spans="7:7" x14ac:dyDescent="0.3">
      <c r="G1159" s="9" t="str">
        <f t="shared" ref="G1159:G1222" si="35">IF(F1159="","",F1159*0.21)</f>
        <v/>
      </c>
    </row>
    <row r="1160" spans="7:7" x14ac:dyDescent="0.3">
      <c r="G1160" s="9" t="str">
        <f t="shared" si="35"/>
        <v/>
      </c>
    </row>
    <row r="1161" spans="7:7" x14ac:dyDescent="0.3">
      <c r="G1161" s="9" t="str">
        <f t="shared" si="35"/>
        <v/>
      </c>
    </row>
    <row r="1162" spans="7:7" x14ac:dyDescent="0.3">
      <c r="G1162" s="9" t="str">
        <f t="shared" si="35"/>
        <v/>
      </c>
    </row>
    <row r="1163" spans="7:7" x14ac:dyDescent="0.3">
      <c r="G1163" s="9" t="str">
        <f t="shared" si="35"/>
        <v/>
      </c>
    </row>
    <row r="1164" spans="7:7" x14ac:dyDescent="0.3">
      <c r="G1164" s="9" t="str">
        <f t="shared" si="35"/>
        <v/>
      </c>
    </row>
    <row r="1165" spans="7:7" x14ac:dyDescent="0.3">
      <c r="G1165" s="9" t="str">
        <f t="shared" si="35"/>
        <v/>
      </c>
    </row>
    <row r="1166" spans="7:7" x14ac:dyDescent="0.3">
      <c r="G1166" s="9" t="str">
        <f t="shared" si="35"/>
        <v/>
      </c>
    </row>
    <row r="1167" spans="7:7" x14ac:dyDescent="0.3">
      <c r="G1167" s="9" t="str">
        <f t="shared" si="35"/>
        <v/>
      </c>
    </row>
    <row r="1168" spans="7:7" x14ac:dyDescent="0.3">
      <c r="G1168" s="9" t="str">
        <f t="shared" si="35"/>
        <v/>
      </c>
    </row>
    <row r="1169" spans="7:7" x14ac:dyDescent="0.3">
      <c r="G1169" s="9" t="str">
        <f t="shared" si="35"/>
        <v/>
      </c>
    </row>
    <row r="1170" spans="7:7" x14ac:dyDescent="0.3">
      <c r="G1170" s="9" t="str">
        <f t="shared" si="35"/>
        <v/>
      </c>
    </row>
    <row r="1171" spans="7:7" x14ac:dyDescent="0.3">
      <c r="G1171" s="9" t="str">
        <f t="shared" si="35"/>
        <v/>
      </c>
    </row>
    <row r="1172" spans="7:7" x14ac:dyDescent="0.3">
      <c r="G1172" s="9" t="str">
        <f t="shared" si="35"/>
        <v/>
      </c>
    </row>
    <row r="1173" spans="7:7" x14ac:dyDescent="0.3">
      <c r="G1173" s="9" t="str">
        <f t="shared" si="35"/>
        <v/>
      </c>
    </row>
    <row r="1174" spans="7:7" x14ac:dyDescent="0.3">
      <c r="G1174" s="9" t="str">
        <f t="shared" si="35"/>
        <v/>
      </c>
    </row>
    <row r="1175" spans="7:7" x14ac:dyDescent="0.3">
      <c r="G1175" s="9" t="str">
        <f t="shared" si="35"/>
        <v/>
      </c>
    </row>
    <row r="1176" spans="7:7" x14ac:dyDescent="0.3">
      <c r="G1176" s="9" t="str">
        <f t="shared" si="35"/>
        <v/>
      </c>
    </row>
    <row r="1177" spans="7:7" x14ac:dyDescent="0.3">
      <c r="G1177" s="9" t="str">
        <f t="shared" si="35"/>
        <v/>
      </c>
    </row>
    <row r="1178" spans="7:7" x14ac:dyDescent="0.3">
      <c r="G1178" s="9" t="str">
        <f t="shared" si="35"/>
        <v/>
      </c>
    </row>
    <row r="1179" spans="7:7" x14ac:dyDescent="0.3">
      <c r="G1179" s="9" t="str">
        <f t="shared" si="35"/>
        <v/>
      </c>
    </row>
    <row r="1180" spans="7:7" x14ac:dyDescent="0.3">
      <c r="G1180" s="9" t="str">
        <f t="shared" si="35"/>
        <v/>
      </c>
    </row>
    <row r="1181" spans="7:7" x14ac:dyDescent="0.3">
      <c r="G1181" s="9" t="str">
        <f t="shared" si="35"/>
        <v/>
      </c>
    </row>
    <row r="1182" spans="7:7" x14ac:dyDescent="0.3">
      <c r="G1182" s="9" t="str">
        <f t="shared" si="35"/>
        <v/>
      </c>
    </row>
    <row r="1183" spans="7:7" x14ac:dyDescent="0.3">
      <c r="G1183" s="9" t="str">
        <f t="shared" si="35"/>
        <v/>
      </c>
    </row>
    <row r="1184" spans="7:7" x14ac:dyDescent="0.3">
      <c r="G1184" s="9" t="str">
        <f t="shared" si="35"/>
        <v/>
      </c>
    </row>
    <row r="1185" spans="7:7" x14ac:dyDescent="0.3">
      <c r="G1185" s="9" t="str">
        <f t="shared" si="35"/>
        <v/>
      </c>
    </row>
    <row r="1186" spans="7:7" x14ac:dyDescent="0.3">
      <c r="G1186" s="9" t="str">
        <f t="shared" si="35"/>
        <v/>
      </c>
    </row>
    <row r="1187" spans="7:7" x14ac:dyDescent="0.3">
      <c r="G1187" s="9" t="str">
        <f t="shared" si="35"/>
        <v/>
      </c>
    </row>
    <row r="1188" spans="7:7" x14ac:dyDescent="0.3">
      <c r="G1188" s="9" t="str">
        <f t="shared" si="35"/>
        <v/>
      </c>
    </row>
    <row r="1189" spans="7:7" x14ac:dyDescent="0.3">
      <c r="G1189" s="9" t="str">
        <f t="shared" si="35"/>
        <v/>
      </c>
    </row>
    <row r="1190" spans="7:7" x14ac:dyDescent="0.3">
      <c r="G1190" s="9" t="str">
        <f t="shared" si="35"/>
        <v/>
      </c>
    </row>
    <row r="1191" spans="7:7" x14ac:dyDescent="0.3">
      <c r="G1191" s="9" t="str">
        <f t="shared" si="35"/>
        <v/>
      </c>
    </row>
    <row r="1192" spans="7:7" x14ac:dyDescent="0.3">
      <c r="G1192" s="9" t="str">
        <f t="shared" si="35"/>
        <v/>
      </c>
    </row>
    <row r="1193" spans="7:7" x14ac:dyDescent="0.3">
      <c r="G1193" s="9" t="str">
        <f t="shared" si="35"/>
        <v/>
      </c>
    </row>
    <row r="1194" spans="7:7" x14ac:dyDescent="0.3">
      <c r="G1194" s="9" t="str">
        <f t="shared" si="35"/>
        <v/>
      </c>
    </row>
    <row r="1195" spans="7:7" x14ac:dyDescent="0.3">
      <c r="G1195" s="9" t="str">
        <f t="shared" si="35"/>
        <v/>
      </c>
    </row>
    <row r="1196" spans="7:7" x14ac:dyDescent="0.3">
      <c r="G1196" s="9" t="str">
        <f t="shared" si="35"/>
        <v/>
      </c>
    </row>
    <row r="1197" spans="7:7" x14ac:dyDescent="0.3">
      <c r="G1197" s="9" t="str">
        <f t="shared" si="35"/>
        <v/>
      </c>
    </row>
    <row r="1198" spans="7:7" x14ac:dyDescent="0.3">
      <c r="G1198" s="9" t="str">
        <f t="shared" si="35"/>
        <v/>
      </c>
    </row>
    <row r="1199" spans="7:7" x14ac:dyDescent="0.3">
      <c r="G1199" s="9" t="str">
        <f t="shared" si="35"/>
        <v/>
      </c>
    </row>
    <row r="1200" spans="7:7" x14ac:dyDescent="0.3">
      <c r="G1200" s="9" t="str">
        <f t="shared" si="35"/>
        <v/>
      </c>
    </row>
    <row r="1201" spans="7:7" x14ac:dyDescent="0.3">
      <c r="G1201" s="9" t="str">
        <f t="shared" si="35"/>
        <v/>
      </c>
    </row>
    <row r="1202" spans="7:7" x14ac:dyDescent="0.3">
      <c r="G1202" s="9" t="str">
        <f t="shared" si="35"/>
        <v/>
      </c>
    </row>
    <row r="1203" spans="7:7" x14ac:dyDescent="0.3">
      <c r="G1203" s="9" t="str">
        <f t="shared" si="35"/>
        <v/>
      </c>
    </row>
    <row r="1204" spans="7:7" x14ac:dyDescent="0.3">
      <c r="G1204" s="9" t="str">
        <f t="shared" si="35"/>
        <v/>
      </c>
    </row>
    <row r="1205" spans="7:7" x14ac:dyDescent="0.3">
      <c r="G1205" s="9" t="str">
        <f t="shared" si="35"/>
        <v/>
      </c>
    </row>
    <row r="1206" spans="7:7" x14ac:dyDescent="0.3">
      <c r="G1206" s="9" t="str">
        <f t="shared" si="35"/>
        <v/>
      </c>
    </row>
    <row r="1207" spans="7:7" x14ac:dyDescent="0.3">
      <c r="G1207" s="9" t="str">
        <f t="shared" si="35"/>
        <v/>
      </c>
    </row>
    <row r="1208" spans="7:7" x14ac:dyDescent="0.3">
      <c r="G1208" s="9" t="str">
        <f t="shared" si="35"/>
        <v/>
      </c>
    </row>
    <row r="1209" spans="7:7" x14ac:dyDescent="0.3">
      <c r="G1209" s="9" t="str">
        <f t="shared" si="35"/>
        <v/>
      </c>
    </row>
    <row r="1210" spans="7:7" x14ac:dyDescent="0.3">
      <c r="G1210" s="9" t="str">
        <f t="shared" si="35"/>
        <v/>
      </c>
    </row>
    <row r="1211" spans="7:7" x14ac:dyDescent="0.3">
      <c r="G1211" s="9" t="str">
        <f t="shared" si="35"/>
        <v/>
      </c>
    </row>
    <row r="1212" spans="7:7" x14ac:dyDescent="0.3">
      <c r="G1212" s="9" t="str">
        <f t="shared" si="35"/>
        <v/>
      </c>
    </row>
    <row r="1213" spans="7:7" x14ac:dyDescent="0.3">
      <c r="G1213" s="9" t="str">
        <f t="shared" si="35"/>
        <v/>
      </c>
    </row>
    <row r="1214" spans="7:7" x14ac:dyDescent="0.3">
      <c r="G1214" s="9" t="str">
        <f t="shared" si="35"/>
        <v/>
      </c>
    </row>
    <row r="1215" spans="7:7" x14ac:dyDescent="0.3">
      <c r="G1215" s="9" t="str">
        <f t="shared" si="35"/>
        <v/>
      </c>
    </row>
    <row r="1216" spans="7:7" x14ac:dyDescent="0.3">
      <c r="G1216" s="9" t="str">
        <f t="shared" si="35"/>
        <v/>
      </c>
    </row>
    <row r="1217" spans="7:7" x14ac:dyDescent="0.3">
      <c r="G1217" s="9" t="str">
        <f t="shared" si="35"/>
        <v/>
      </c>
    </row>
    <row r="1218" spans="7:7" x14ac:dyDescent="0.3">
      <c r="G1218" s="9" t="str">
        <f t="shared" si="35"/>
        <v/>
      </c>
    </row>
    <row r="1219" spans="7:7" x14ac:dyDescent="0.3">
      <c r="G1219" s="9" t="str">
        <f t="shared" si="35"/>
        <v/>
      </c>
    </row>
    <row r="1220" spans="7:7" x14ac:dyDescent="0.3">
      <c r="G1220" s="9" t="str">
        <f t="shared" si="35"/>
        <v/>
      </c>
    </row>
    <row r="1221" spans="7:7" x14ac:dyDescent="0.3">
      <c r="G1221" s="9" t="str">
        <f t="shared" si="35"/>
        <v/>
      </c>
    </row>
    <row r="1222" spans="7:7" x14ac:dyDescent="0.3">
      <c r="G1222" s="9" t="str">
        <f t="shared" si="35"/>
        <v/>
      </c>
    </row>
    <row r="1223" spans="7:7" x14ac:dyDescent="0.3">
      <c r="G1223" s="9" t="str">
        <f t="shared" ref="G1223:G1286" si="36">IF(F1223="","",F1223*0.21)</f>
        <v/>
      </c>
    </row>
    <row r="1224" spans="7:7" x14ac:dyDescent="0.3">
      <c r="G1224" s="9" t="str">
        <f t="shared" si="36"/>
        <v/>
      </c>
    </row>
    <row r="1225" spans="7:7" x14ac:dyDescent="0.3">
      <c r="G1225" s="9" t="str">
        <f t="shared" si="36"/>
        <v/>
      </c>
    </row>
    <row r="1226" spans="7:7" x14ac:dyDescent="0.3">
      <c r="G1226" s="9" t="str">
        <f t="shared" si="36"/>
        <v/>
      </c>
    </row>
    <row r="1227" spans="7:7" x14ac:dyDescent="0.3">
      <c r="G1227" s="9" t="str">
        <f t="shared" si="36"/>
        <v/>
      </c>
    </row>
    <row r="1228" spans="7:7" x14ac:dyDescent="0.3">
      <c r="G1228" s="9" t="str">
        <f t="shared" si="36"/>
        <v/>
      </c>
    </row>
    <row r="1229" spans="7:7" x14ac:dyDescent="0.3">
      <c r="G1229" s="9" t="str">
        <f t="shared" si="36"/>
        <v/>
      </c>
    </row>
    <row r="1230" spans="7:7" x14ac:dyDescent="0.3">
      <c r="G1230" s="9" t="str">
        <f t="shared" si="36"/>
        <v/>
      </c>
    </row>
    <row r="1231" spans="7:7" x14ac:dyDescent="0.3">
      <c r="G1231" s="9" t="str">
        <f t="shared" si="36"/>
        <v/>
      </c>
    </row>
    <row r="1232" spans="7:7" x14ac:dyDescent="0.3">
      <c r="G1232" s="9" t="str">
        <f t="shared" si="36"/>
        <v/>
      </c>
    </row>
    <row r="1233" spans="7:7" x14ac:dyDescent="0.3">
      <c r="G1233" s="9" t="str">
        <f t="shared" si="36"/>
        <v/>
      </c>
    </row>
    <row r="1234" spans="7:7" x14ac:dyDescent="0.3">
      <c r="G1234" s="9" t="str">
        <f t="shared" si="36"/>
        <v/>
      </c>
    </row>
    <row r="1235" spans="7:7" x14ac:dyDescent="0.3">
      <c r="G1235" s="9" t="str">
        <f t="shared" si="36"/>
        <v/>
      </c>
    </row>
    <row r="1236" spans="7:7" x14ac:dyDescent="0.3">
      <c r="G1236" s="9" t="str">
        <f t="shared" si="36"/>
        <v/>
      </c>
    </row>
    <row r="1237" spans="7:7" x14ac:dyDescent="0.3">
      <c r="G1237" s="9" t="str">
        <f t="shared" si="36"/>
        <v/>
      </c>
    </row>
    <row r="1238" spans="7:7" x14ac:dyDescent="0.3">
      <c r="G1238" s="9" t="str">
        <f t="shared" si="36"/>
        <v/>
      </c>
    </row>
    <row r="1239" spans="7:7" x14ac:dyDescent="0.3">
      <c r="G1239" s="9" t="str">
        <f t="shared" si="36"/>
        <v/>
      </c>
    </row>
    <row r="1240" spans="7:7" x14ac:dyDescent="0.3">
      <c r="G1240" s="9" t="str">
        <f t="shared" si="36"/>
        <v/>
      </c>
    </row>
    <row r="1241" spans="7:7" x14ac:dyDescent="0.3">
      <c r="G1241" s="9" t="str">
        <f t="shared" si="36"/>
        <v/>
      </c>
    </row>
    <row r="1242" spans="7:7" x14ac:dyDescent="0.3">
      <c r="G1242" s="9" t="str">
        <f t="shared" si="36"/>
        <v/>
      </c>
    </row>
    <row r="1243" spans="7:7" x14ac:dyDescent="0.3">
      <c r="G1243" s="9" t="str">
        <f t="shared" si="36"/>
        <v/>
      </c>
    </row>
    <row r="1244" spans="7:7" x14ac:dyDescent="0.3">
      <c r="G1244" s="9" t="str">
        <f t="shared" si="36"/>
        <v/>
      </c>
    </row>
    <row r="1245" spans="7:7" x14ac:dyDescent="0.3">
      <c r="G1245" s="9" t="str">
        <f t="shared" si="36"/>
        <v/>
      </c>
    </row>
    <row r="1246" spans="7:7" x14ac:dyDescent="0.3">
      <c r="G1246" s="9" t="str">
        <f t="shared" si="36"/>
        <v/>
      </c>
    </row>
    <row r="1247" spans="7:7" x14ac:dyDescent="0.3">
      <c r="G1247" s="9" t="str">
        <f t="shared" si="36"/>
        <v/>
      </c>
    </row>
    <row r="1248" spans="7:7" x14ac:dyDescent="0.3">
      <c r="G1248" s="9" t="str">
        <f t="shared" si="36"/>
        <v/>
      </c>
    </row>
    <row r="1249" spans="7:7" x14ac:dyDescent="0.3">
      <c r="G1249" s="9" t="str">
        <f t="shared" si="36"/>
        <v/>
      </c>
    </row>
    <row r="1250" spans="7:7" x14ac:dyDescent="0.3">
      <c r="G1250" s="9" t="str">
        <f t="shared" si="36"/>
        <v/>
      </c>
    </row>
    <row r="1251" spans="7:7" x14ac:dyDescent="0.3">
      <c r="G1251" s="9" t="str">
        <f t="shared" si="36"/>
        <v/>
      </c>
    </row>
    <row r="1252" spans="7:7" x14ac:dyDescent="0.3">
      <c r="G1252" s="9" t="str">
        <f t="shared" si="36"/>
        <v/>
      </c>
    </row>
    <row r="1253" spans="7:7" x14ac:dyDescent="0.3">
      <c r="G1253" s="9" t="str">
        <f t="shared" si="36"/>
        <v/>
      </c>
    </row>
    <row r="1254" spans="7:7" x14ac:dyDescent="0.3">
      <c r="G1254" s="9" t="str">
        <f t="shared" si="36"/>
        <v/>
      </c>
    </row>
    <row r="1255" spans="7:7" x14ac:dyDescent="0.3">
      <c r="G1255" s="9" t="str">
        <f t="shared" si="36"/>
        <v/>
      </c>
    </row>
    <row r="1256" spans="7:7" x14ac:dyDescent="0.3">
      <c r="G1256" s="9" t="str">
        <f t="shared" si="36"/>
        <v/>
      </c>
    </row>
    <row r="1257" spans="7:7" x14ac:dyDescent="0.3">
      <c r="G1257" s="9" t="str">
        <f t="shared" si="36"/>
        <v/>
      </c>
    </row>
    <row r="1258" spans="7:7" x14ac:dyDescent="0.3">
      <c r="G1258" s="9" t="str">
        <f t="shared" si="36"/>
        <v/>
      </c>
    </row>
    <row r="1259" spans="7:7" x14ac:dyDescent="0.3">
      <c r="G1259" s="9" t="str">
        <f t="shared" si="36"/>
        <v/>
      </c>
    </row>
    <row r="1260" spans="7:7" x14ac:dyDescent="0.3">
      <c r="G1260" s="9" t="str">
        <f t="shared" si="36"/>
        <v/>
      </c>
    </row>
    <row r="1261" spans="7:7" x14ac:dyDescent="0.3">
      <c r="G1261" s="9" t="str">
        <f t="shared" si="36"/>
        <v/>
      </c>
    </row>
    <row r="1262" spans="7:7" x14ac:dyDescent="0.3">
      <c r="G1262" s="9" t="str">
        <f t="shared" si="36"/>
        <v/>
      </c>
    </row>
    <row r="1263" spans="7:7" x14ac:dyDescent="0.3">
      <c r="G1263" s="9" t="str">
        <f t="shared" si="36"/>
        <v/>
      </c>
    </row>
    <row r="1264" spans="7:7" x14ac:dyDescent="0.3">
      <c r="G1264" s="9" t="str">
        <f t="shared" si="36"/>
        <v/>
      </c>
    </row>
    <row r="1265" spans="7:7" x14ac:dyDescent="0.3">
      <c r="G1265" s="9" t="str">
        <f t="shared" si="36"/>
        <v/>
      </c>
    </row>
    <row r="1266" spans="7:7" x14ac:dyDescent="0.3">
      <c r="G1266" s="9" t="str">
        <f t="shared" si="36"/>
        <v/>
      </c>
    </row>
    <row r="1267" spans="7:7" x14ac:dyDescent="0.3">
      <c r="G1267" s="9" t="str">
        <f t="shared" si="36"/>
        <v/>
      </c>
    </row>
    <row r="1268" spans="7:7" x14ac:dyDescent="0.3">
      <c r="G1268" s="9" t="str">
        <f t="shared" si="36"/>
        <v/>
      </c>
    </row>
    <row r="1269" spans="7:7" x14ac:dyDescent="0.3">
      <c r="G1269" s="9" t="str">
        <f t="shared" si="36"/>
        <v/>
      </c>
    </row>
    <row r="1270" spans="7:7" x14ac:dyDescent="0.3">
      <c r="G1270" s="9" t="str">
        <f t="shared" si="36"/>
        <v/>
      </c>
    </row>
    <row r="1271" spans="7:7" x14ac:dyDescent="0.3">
      <c r="G1271" s="9" t="str">
        <f t="shared" si="36"/>
        <v/>
      </c>
    </row>
    <row r="1272" spans="7:7" x14ac:dyDescent="0.3">
      <c r="G1272" s="9" t="str">
        <f t="shared" si="36"/>
        <v/>
      </c>
    </row>
    <row r="1273" spans="7:7" x14ac:dyDescent="0.3">
      <c r="G1273" s="9" t="str">
        <f t="shared" si="36"/>
        <v/>
      </c>
    </row>
    <row r="1274" spans="7:7" x14ac:dyDescent="0.3">
      <c r="G1274" s="9" t="str">
        <f t="shared" si="36"/>
        <v/>
      </c>
    </row>
    <row r="1275" spans="7:7" x14ac:dyDescent="0.3">
      <c r="G1275" s="9" t="str">
        <f t="shared" si="36"/>
        <v/>
      </c>
    </row>
    <row r="1276" spans="7:7" x14ac:dyDescent="0.3">
      <c r="G1276" s="9" t="str">
        <f t="shared" si="36"/>
        <v/>
      </c>
    </row>
    <row r="1277" spans="7:7" x14ac:dyDescent="0.3">
      <c r="G1277" s="9" t="str">
        <f t="shared" si="36"/>
        <v/>
      </c>
    </row>
    <row r="1278" spans="7:7" x14ac:dyDescent="0.3">
      <c r="G1278" s="9" t="str">
        <f t="shared" si="36"/>
        <v/>
      </c>
    </row>
    <row r="1279" spans="7:7" x14ac:dyDescent="0.3">
      <c r="G1279" s="9" t="str">
        <f t="shared" si="36"/>
        <v/>
      </c>
    </row>
    <row r="1280" spans="7:7" x14ac:dyDescent="0.3">
      <c r="G1280" s="9" t="str">
        <f t="shared" si="36"/>
        <v/>
      </c>
    </row>
    <row r="1281" spans="7:7" x14ac:dyDescent="0.3">
      <c r="G1281" s="9" t="str">
        <f t="shared" si="36"/>
        <v/>
      </c>
    </row>
    <row r="1282" spans="7:7" x14ac:dyDescent="0.3">
      <c r="G1282" s="9" t="str">
        <f t="shared" si="36"/>
        <v/>
      </c>
    </row>
    <row r="1283" spans="7:7" x14ac:dyDescent="0.3">
      <c r="G1283" s="9" t="str">
        <f t="shared" si="36"/>
        <v/>
      </c>
    </row>
    <row r="1284" spans="7:7" x14ac:dyDescent="0.3">
      <c r="G1284" s="9" t="str">
        <f t="shared" si="36"/>
        <v/>
      </c>
    </row>
    <row r="1285" spans="7:7" x14ac:dyDescent="0.3">
      <c r="G1285" s="9" t="str">
        <f t="shared" si="36"/>
        <v/>
      </c>
    </row>
    <row r="1286" spans="7:7" x14ac:dyDescent="0.3">
      <c r="G1286" s="9" t="str">
        <f t="shared" si="36"/>
        <v/>
      </c>
    </row>
    <row r="1287" spans="7:7" x14ac:dyDescent="0.3">
      <c r="G1287" s="9" t="str">
        <f t="shared" ref="G1287:G1350" si="37">IF(F1287="","",F1287*0.21)</f>
        <v/>
      </c>
    </row>
    <row r="1288" spans="7:7" x14ac:dyDescent="0.3">
      <c r="G1288" s="9" t="str">
        <f t="shared" si="37"/>
        <v/>
      </c>
    </row>
    <row r="1289" spans="7:7" x14ac:dyDescent="0.3">
      <c r="G1289" s="9" t="str">
        <f t="shared" si="37"/>
        <v/>
      </c>
    </row>
    <row r="1290" spans="7:7" x14ac:dyDescent="0.3">
      <c r="G1290" s="9" t="str">
        <f t="shared" si="37"/>
        <v/>
      </c>
    </row>
    <row r="1291" spans="7:7" x14ac:dyDescent="0.3">
      <c r="G1291" s="9" t="str">
        <f t="shared" si="37"/>
        <v/>
      </c>
    </row>
    <row r="1292" spans="7:7" x14ac:dyDescent="0.3">
      <c r="G1292" s="9" t="str">
        <f t="shared" si="37"/>
        <v/>
      </c>
    </row>
    <row r="1293" spans="7:7" x14ac:dyDescent="0.3">
      <c r="G1293" s="9" t="str">
        <f t="shared" si="37"/>
        <v/>
      </c>
    </row>
    <row r="1294" spans="7:7" x14ac:dyDescent="0.3">
      <c r="G1294" s="9" t="str">
        <f t="shared" si="37"/>
        <v/>
      </c>
    </row>
    <row r="1295" spans="7:7" x14ac:dyDescent="0.3">
      <c r="G1295" s="9" t="str">
        <f t="shared" si="37"/>
        <v/>
      </c>
    </row>
    <row r="1296" spans="7:7" x14ac:dyDescent="0.3">
      <c r="G1296" s="9" t="str">
        <f t="shared" si="37"/>
        <v/>
      </c>
    </row>
    <row r="1297" spans="7:7" x14ac:dyDescent="0.3">
      <c r="G1297" s="9" t="str">
        <f t="shared" si="37"/>
        <v/>
      </c>
    </row>
    <row r="1298" spans="7:7" x14ac:dyDescent="0.3">
      <c r="G1298" s="9" t="str">
        <f t="shared" si="37"/>
        <v/>
      </c>
    </row>
    <row r="1299" spans="7:7" x14ac:dyDescent="0.3">
      <c r="G1299" s="9" t="str">
        <f t="shared" si="37"/>
        <v/>
      </c>
    </row>
    <row r="1300" spans="7:7" x14ac:dyDescent="0.3">
      <c r="G1300" s="9" t="str">
        <f t="shared" si="37"/>
        <v/>
      </c>
    </row>
    <row r="1301" spans="7:7" x14ac:dyDescent="0.3">
      <c r="G1301" s="9" t="str">
        <f t="shared" si="37"/>
        <v/>
      </c>
    </row>
    <row r="1302" spans="7:7" x14ac:dyDescent="0.3">
      <c r="G1302" s="9" t="str">
        <f t="shared" si="37"/>
        <v/>
      </c>
    </row>
    <row r="1303" spans="7:7" x14ac:dyDescent="0.3">
      <c r="G1303" s="9" t="str">
        <f t="shared" si="37"/>
        <v/>
      </c>
    </row>
    <row r="1304" spans="7:7" x14ac:dyDescent="0.3">
      <c r="G1304" s="9" t="str">
        <f t="shared" si="37"/>
        <v/>
      </c>
    </row>
    <row r="1305" spans="7:7" x14ac:dyDescent="0.3">
      <c r="G1305" s="9" t="str">
        <f t="shared" si="37"/>
        <v/>
      </c>
    </row>
    <row r="1306" spans="7:7" x14ac:dyDescent="0.3">
      <c r="G1306" s="9" t="str">
        <f t="shared" si="37"/>
        <v/>
      </c>
    </row>
    <row r="1307" spans="7:7" x14ac:dyDescent="0.3">
      <c r="G1307" s="9" t="str">
        <f t="shared" si="37"/>
        <v/>
      </c>
    </row>
    <row r="1308" spans="7:7" x14ac:dyDescent="0.3">
      <c r="G1308" s="9" t="str">
        <f t="shared" si="37"/>
        <v/>
      </c>
    </row>
    <row r="1309" spans="7:7" x14ac:dyDescent="0.3">
      <c r="G1309" s="9" t="str">
        <f t="shared" si="37"/>
        <v/>
      </c>
    </row>
    <row r="1310" spans="7:7" x14ac:dyDescent="0.3">
      <c r="G1310" s="9" t="str">
        <f t="shared" si="37"/>
        <v/>
      </c>
    </row>
    <row r="1311" spans="7:7" x14ac:dyDescent="0.3">
      <c r="G1311" s="9" t="str">
        <f t="shared" si="37"/>
        <v/>
      </c>
    </row>
    <row r="1312" spans="7:7" x14ac:dyDescent="0.3">
      <c r="G1312" s="9" t="str">
        <f t="shared" si="37"/>
        <v/>
      </c>
    </row>
    <row r="1313" spans="7:7" x14ac:dyDescent="0.3">
      <c r="G1313" s="9" t="str">
        <f t="shared" si="37"/>
        <v/>
      </c>
    </row>
    <row r="1314" spans="7:7" x14ac:dyDescent="0.3">
      <c r="G1314" s="9" t="str">
        <f t="shared" si="37"/>
        <v/>
      </c>
    </row>
    <row r="1315" spans="7:7" x14ac:dyDescent="0.3">
      <c r="G1315" s="9" t="str">
        <f t="shared" si="37"/>
        <v/>
      </c>
    </row>
    <row r="1316" spans="7:7" x14ac:dyDescent="0.3">
      <c r="G1316" s="9" t="str">
        <f t="shared" si="37"/>
        <v/>
      </c>
    </row>
    <row r="1317" spans="7:7" x14ac:dyDescent="0.3">
      <c r="G1317" s="9" t="str">
        <f t="shared" si="37"/>
        <v/>
      </c>
    </row>
    <row r="1318" spans="7:7" x14ac:dyDescent="0.3">
      <c r="G1318" s="9" t="str">
        <f t="shared" si="37"/>
        <v/>
      </c>
    </row>
    <row r="1319" spans="7:7" x14ac:dyDescent="0.3">
      <c r="G1319" s="9" t="str">
        <f t="shared" si="37"/>
        <v/>
      </c>
    </row>
    <row r="1320" spans="7:7" x14ac:dyDescent="0.3">
      <c r="G1320" s="9" t="str">
        <f t="shared" si="37"/>
        <v/>
      </c>
    </row>
    <row r="1321" spans="7:7" x14ac:dyDescent="0.3">
      <c r="G1321" s="9" t="str">
        <f t="shared" si="37"/>
        <v/>
      </c>
    </row>
    <row r="1322" spans="7:7" x14ac:dyDescent="0.3">
      <c r="G1322" s="9" t="str">
        <f t="shared" si="37"/>
        <v/>
      </c>
    </row>
    <row r="1323" spans="7:7" x14ac:dyDescent="0.3">
      <c r="G1323" s="9" t="str">
        <f t="shared" si="37"/>
        <v/>
      </c>
    </row>
    <row r="1324" spans="7:7" x14ac:dyDescent="0.3">
      <c r="G1324" s="9" t="str">
        <f t="shared" si="37"/>
        <v/>
      </c>
    </row>
    <row r="1325" spans="7:7" x14ac:dyDescent="0.3">
      <c r="G1325" s="9" t="str">
        <f t="shared" si="37"/>
        <v/>
      </c>
    </row>
    <row r="1326" spans="7:7" x14ac:dyDescent="0.3">
      <c r="G1326" s="9" t="str">
        <f t="shared" si="37"/>
        <v/>
      </c>
    </row>
    <row r="1327" spans="7:7" x14ac:dyDescent="0.3">
      <c r="G1327" s="9" t="str">
        <f t="shared" si="37"/>
        <v/>
      </c>
    </row>
    <row r="1328" spans="7:7" x14ac:dyDescent="0.3">
      <c r="G1328" s="9" t="str">
        <f t="shared" si="37"/>
        <v/>
      </c>
    </row>
    <row r="1329" spans="7:7" x14ac:dyDescent="0.3">
      <c r="G1329" s="9" t="str">
        <f t="shared" si="37"/>
        <v/>
      </c>
    </row>
    <row r="1330" spans="7:7" x14ac:dyDescent="0.3">
      <c r="G1330" s="9" t="str">
        <f t="shared" si="37"/>
        <v/>
      </c>
    </row>
    <row r="1331" spans="7:7" x14ac:dyDescent="0.3">
      <c r="G1331" s="9" t="str">
        <f t="shared" si="37"/>
        <v/>
      </c>
    </row>
    <row r="1332" spans="7:7" x14ac:dyDescent="0.3">
      <c r="G1332" s="9" t="str">
        <f t="shared" si="37"/>
        <v/>
      </c>
    </row>
    <row r="1333" spans="7:7" x14ac:dyDescent="0.3">
      <c r="G1333" s="9" t="str">
        <f t="shared" si="37"/>
        <v/>
      </c>
    </row>
    <row r="1334" spans="7:7" x14ac:dyDescent="0.3">
      <c r="G1334" s="9" t="str">
        <f t="shared" si="37"/>
        <v/>
      </c>
    </row>
    <row r="1335" spans="7:7" x14ac:dyDescent="0.3">
      <c r="G1335" s="9" t="str">
        <f t="shared" si="37"/>
        <v/>
      </c>
    </row>
    <row r="1336" spans="7:7" x14ac:dyDescent="0.3">
      <c r="G1336" s="9" t="str">
        <f t="shared" si="37"/>
        <v/>
      </c>
    </row>
    <row r="1337" spans="7:7" x14ac:dyDescent="0.3">
      <c r="G1337" s="9" t="str">
        <f t="shared" si="37"/>
        <v/>
      </c>
    </row>
    <row r="1338" spans="7:7" x14ac:dyDescent="0.3">
      <c r="G1338" s="9" t="str">
        <f t="shared" si="37"/>
        <v/>
      </c>
    </row>
    <row r="1339" spans="7:7" x14ac:dyDescent="0.3">
      <c r="G1339" s="9" t="str">
        <f t="shared" si="37"/>
        <v/>
      </c>
    </row>
    <row r="1340" spans="7:7" x14ac:dyDescent="0.3">
      <c r="G1340" s="9" t="str">
        <f t="shared" si="37"/>
        <v/>
      </c>
    </row>
    <row r="1341" spans="7:7" x14ac:dyDescent="0.3">
      <c r="G1341" s="9" t="str">
        <f t="shared" si="37"/>
        <v/>
      </c>
    </row>
    <row r="1342" spans="7:7" x14ac:dyDescent="0.3">
      <c r="G1342" s="9" t="str">
        <f t="shared" si="37"/>
        <v/>
      </c>
    </row>
    <row r="1343" spans="7:7" x14ac:dyDescent="0.3">
      <c r="G1343" s="9" t="str">
        <f t="shared" si="37"/>
        <v/>
      </c>
    </row>
    <row r="1344" spans="7:7" x14ac:dyDescent="0.3">
      <c r="G1344" s="9" t="str">
        <f t="shared" si="37"/>
        <v/>
      </c>
    </row>
    <row r="1345" spans="7:7" x14ac:dyDescent="0.3">
      <c r="G1345" s="9" t="str">
        <f t="shared" si="37"/>
        <v/>
      </c>
    </row>
    <row r="1346" spans="7:7" x14ac:dyDescent="0.3">
      <c r="G1346" s="9" t="str">
        <f t="shared" si="37"/>
        <v/>
      </c>
    </row>
    <row r="1347" spans="7:7" x14ac:dyDescent="0.3">
      <c r="G1347" s="9" t="str">
        <f t="shared" si="37"/>
        <v/>
      </c>
    </row>
    <row r="1348" spans="7:7" x14ac:dyDescent="0.3">
      <c r="G1348" s="9" t="str">
        <f t="shared" si="37"/>
        <v/>
      </c>
    </row>
    <row r="1349" spans="7:7" x14ac:dyDescent="0.3">
      <c r="G1349" s="9" t="str">
        <f t="shared" si="37"/>
        <v/>
      </c>
    </row>
    <row r="1350" spans="7:7" x14ac:dyDescent="0.3">
      <c r="G1350" s="9" t="str">
        <f t="shared" si="37"/>
        <v/>
      </c>
    </row>
    <row r="1351" spans="7:7" x14ac:dyDescent="0.3">
      <c r="G1351" s="9" t="str">
        <f t="shared" ref="G1351:G1414" si="38">IF(F1351="","",F1351*0.21)</f>
        <v/>
      </c>
    </row>
    <row r="1352" spans="7:7" x14ac:dyDescent="0.3">
      <c r="G1352" s="9" t="str">
        <f t="shared" si="38"/>
        <v/>
      </c>
    </row>
    <row r="1353" spans="7:7" x14ac:dyDescent="0.3">
      <c r="G1353" s="9" t="str">
        <f t="shared" si="38"/>
        <v/>
      </c>
    </row>
    <row r="1354" spans="7:7" x14ac:dyDescent="0.3">
      <c r="G1354" s="9" t="str">
        <f t="shared" si="38"/>
        <v/>
      </c>
    </row>
    <row r="1355" spans="7:7" x14ac:dyDescent="0.3">
      <c r="G1355" s="9" t="str">
        <f t="shared" si="38"/>
        <v/>
      </c>
    </row>
    <row r="1356" spans="7:7" x14ac:dyDescent="0.3">
      <c r="G1356" s="9" t="str">
        <f t="shared" si="38"/>
        <v/>
      </c>
    </row>
    <row r="1357" spans="7:7" x14ac:dyDescent="0.3">
      <c r="G1357" s="9" t="str">
        <f t="shared" si="38"/>
        <v/>
      </c>
    </row>
    <row r="1358" spans="7:7" x14ac:dyDescent="0.3">
      <c r="G1358" s="9" t="str">
        <f t="shared" si="38"/>
        <v/>
      </c>
    </row>
    <row r="1359" spans="7:7" x14ac:dyDescent="0.3">
      <c r="G1359" s="9" t="str">
        <f t="shared" si="38"/>
        <v/>
      </c>
    </row>
    <row r="1360" spans="7:7" x14ac:dyDescent="0.3">
      <c r="G1360" s="9" t="str">
        <f t="shared" si="38"/>
        <v/>
      </c>
    </row>
    <row r="1361" spans="7:7" x14ac:dyDescent="0.3">
      <c r="G1361" s="9" t="str">
        <f t="shared" si="38"/>
        <v/>
      </c>
    </row>
    <row r="1362" spans="7:7" x14ac:dyDescent="0.3">
      <c r="G1362" s="9" t="str">
        <f t="shared" si="38"/>
        <v/>
      </c>
    </row>
    <row r="1363" spans="7:7" x14ac:dyDescent="0.3">
      <c r="G1363" s="9" t="str">
        <f t="shared" si="38"/>
        <v/>
      </c>
    </row>
    <row r="1364" spans="7:7" x14ac:dyDescent="0.3">
      <c r="G1364" s="9" t="str">
        <f t="shared" si="38"/>
        <v/>
      </c>
    </row>
    <row r="1365" spans="7:7" x14ac:dyDescent="0.3">
      <c r="G1365" s="9" t="str">
        <f t="shared" si="38"/>
        <v/>
      </c>
    </row>
    <row r="1366" spans="7:7" x14ac:dyDescent="0.3">
      <c r="G1366" s="9" t="str">
        <f t="shared" si="38"/>
        <v/>
      </c>
    </row>
    <row r="1367" spans="7:7" x14ac:dyDescent="0.3">
      <c r="G1367" s="9" t="str">
        <f t="shared" si="38"/>
        <v/>
      </c>
    </row>
    <row r="1368" spans="7:7" x14ac:dyDescent="0.3">
      <c r="G1368" s="9" t="str">
        <f t="shared" si="38"/>
        <v/>
      </c>
    </row>
    <row r="1369" spans="7:7" x14ac:dyDescent="0.3">
      <c r="G1369" s="9" t="str">
        <f t="shared" si="38"/>
        <v/>
      </c>
    </row>
    <row r="1370" spans="7:7" x14ac:dyDescent="0.3">
      <c r="G1370" s="9" t="str">
        <f t="shared" si="38"/>
        <v/>
      </c>
    </row>
    <row r="1371" spans="7:7" x14ac:dyDescent="0.3">
      <c r="G1371" s="9" t="str">
        <f t="shared" si="38"/>
        <v/>
      </c>
    </row>
    <row r="1372" spans="7:7" x14ac:dyDescent="0.3">
      <c r="G1372" s="9" t="str">
        <f t="shared" si="38"/>
        <v/>
      </c>
    </row>
    <row r="1373" spans="7:7" x14ac:dyDescent="0.3">
      <c r="G1373" s="9" t="str">
        <f t="shared" si="38"/>
        <v/>
      </c>
    </row>
    <row r="1374" spans="7:7" x14ac:dyDescent="0.3">
      <c r="G1374" s="9" t="str">
        <f t="shared" si="38"/>
        <v/>
      </c>
    </row>
    <row r="1375" spans="7:7" x14ac:dyDescent="0.3">
      <c r="G1375" s="9" t="str">
        <f t="shared" si="38"/>
        <v/>
      </c>
    </row>
    <row r="1376" spans="7:7" x14ac:dyDescent="0.3">
      <c r="G1376" s="9" t="str">
        <f t="shared" si="38"/>
        <v/>
      </c>
    </row>
    <row r="1377" spans="7:7" x14ac:dyDescent="0.3">
      <c r="G1377" s="9" t="str">
        <f t="shared" si="38"/>
        <v/>
      </c>
    </row>
    <row r="1378" spans="7:7" x14ac:dyDescent="0.3">
      <c r="G1378" s="9" t="str">
        <f t="shared" si="38"/>
        <v/>
      </c>
    </row>
    <row r="1379" spans="7:7" x14ac:dyDescent="0.3">
      <c r="G1379" s="9" t="str">
        <f t="shared" si="38"/>
        <v/>
      </c>
    </row>
    <row r="1380" spans="7:7" x14ac:dyDescent="0.3">
      <c r="G1380" s="9" t="str">
        <f t="shared" si="38"/>
        <v/>
      </c>
    </row>
    <row r="1381" spans="7:7" x14ac:dyDescent="0.3">
      <c r="G1381" s="9" t="str">
        <f t="shared" si="38"/>
        <v/>
      </c>
    </row>
    <row r="1382" spans="7:7" x14ac:dyDescent="0.3">
      <c r="G1382" s="9" t="str">
        <f t="shared" si="38"/>
        <v/>
      </c>
    </row>
    <row r="1383" spans="7:7" x14ac:dyDescent="0.3">
      <c r="G1383" s="9" t="str">
        <f t="shared" si="38"/>
        <v/>
      </c>
    </row>
    <row r="1384" spans="7:7" x14ac:dyDescent="0.3">
      <c r="G1384" s="9" t="str">
        <f t="shared" si="38"/>
        <v/>
      </c>
    </row>
    <row r="1385" spans="7:7" x14ac:dyDescent="0.3">
      <c r="G1385" s="9" t="str">
        <f t="shared" si="38"/>
        <v/>
      </c>
    </row>
    <row r="1386" spans="7:7" x14ac:dyDescent="0.3">
      <c r="G1386" s="9" t="str">
        <f t="shared" si="38"/>
        <v/>
      </c>
    </row>
    <row r="1387" spans="7:7" x14ac:dyDescent="0.3">
      <c r="G1387" s="9" t="str">
        <f t="shared" si="38"/>
        <v/>
      </c>
    </row>
    <row r="1388" spans="7:7" x14ac:dyDescent="0.3">
      <c r="G1388" s="9" t="str">
        <f t="shared" si="38"/>
        <v/>
      </c>
    </row>
    <row r="1389" spans="7:7" x14ac:dyDescent="0.3">
      <c r="G1389" s="9" t="str">
        <f t="shared" si="38"/>
        <v/>
      </c>
    </row>
    <row r="1390" spans="7:7" x14ac:dyDescent="0.3">
      <c r="G1390" s="9" t="str">
        <f t="shared" si="38"/>
        <v/>
      </c>
    </row>
    <row r="1391" spans="7:7" x14ac:dyDescent="0.3">
      <c r="G1391" s="9" t="str">
        <f t="shared" si="38"/>
        <v/>
      </c>
    </row>
    <row r="1392" spans="7:7" x14ac:dyDescent="0.3">
      <c r="G1392" s="9" t="str">
        <f t="shared" si="38"/>
        <v/>
      </c>
    </row>
    <row r="1393" spans="7:7" x14ac:dyDescent="0.3">
      <c r="G1393" s="9" t="str">
        <f t="shared" si="38"/>
        <v/>
      </c>
    </row>
    <row r="1394" spans="7:7" x14ac:dyDescent="0.3">
      <c r="G1394" s="9" t="str">
        <f t="shared" si="38"/>
        <v/>
      </c>
    </row>
    <row r="1395" spans="7:7" x14ac:dyDescent="0.3">
      <c r="G1395" s="9" t="str">
        <f t="shared" si="38"/>
        <v/>
      </c>
    </row>
    <row r="1396" spans="7:7" x14ac:dyDescent="0.3">
      <c r="G1396" s="9" t="str">
        <f t="shared" si="38"/>
        <v/>
      </c>
    </row>
    <row r="1397" spans="7:7" x14ac:dyDescent="0.3">
      <c r="G1397" s="9" t="str">
        <f t="shared" si="38"/>
        <v/>
      </c>
    </row>
    <row r="1398" spans="7:7" x14ac:dyDescent="0.3">
      <c r="G1398" s="9" t="str">
        <f t="shared" si="38"/>
        <v/>
      </c>
    </row>
    <row r="1399" spans="7:7" x14ac:dyDescent="0.3">
      <c r="G1399" s="9" t="str">
        <f t="shared" si="38"/>
        <v/>
      </c>
    </row>
    <row r="1400" spans="7:7" x14ac:dyDescent="0.3">
      <c r="G1400" s="9" t="str">
        <f t="shared" si="38"/>
        <v/>
      </c>
    </row>
    <row r="1401" spans="7:7" x14ac:dyDescent="0.3">
      <c r="G1401" s="9" t="str">
        <f t="shared" si="38"/>
        <v/>
      </c>
    </row>
    <row r="1402" spans="7:7" x14ac:dyDescent="0.3">
      <c r="G1402" s="9" t="str">
        <f t="shared" si="38"/>
        <v/>
      </c>
    </row>
    <row r="1403" spans="7:7" x14ac:dyDescent="0.3">
      <c r="G1403" s="9" t="str">
        <f t="shared" si="38"/>
        <v/>
      </c>
    </row>
    <row r="1404" spans="7:7" x14ac:dyDescent="0.3">
      <c r="G1404" s="9" t="str">
        <f t="shared" si="38"/>
        <v/>
      </c>
    </row>
    <row r="1405" spans="7:7" x14ac:dyDescent="0.3">
      <c r="G1405" s="9" t="str">
        <f t="shared" si="38"/>
        <v/>
      </c>
    </row>
    <row r="1406" spans="7:7" x14ac:dyDescent="0.3">
      <c r="G1406" s="9" t="str">
        <f t="shared" si="38"/>
        <v/>
      </c>
    </row>
    <row r="1407" spans="7:7" x14ac:dyDescent="0.3">
      <c r="G1407" s="9" t="str">
        <f t="shared" si="38"/>
        <v/>
      </c>
    </row>
    <row r="1408" spans="7:7" x14ac:dyDescent="0.3">
      <c r="G1408" s="9" t="str">
        <f t="shared" si="38"/>
        <v/>
      </c>
    </row>
    <row r="1409" spans="7:7" x14ac:dyDescent="0.3">
      <c r="G1409" s="9" t="str">
        <f t="shared" si="38"/>
        <v/>
      </c>
    </row>
    <row r="1410" spans="7:7" x14ac:dyDescent="0.3">
      <c r="G1410" s="9" t="str">
        <f t="shared" si="38"/>
        <v/>
      </c>
    </row>
    <row r="1411" spans="7:7" x14ac:dyDescent="0.3">
      <c r="G1411" s="9" t="str">
        <f t="shared" si="38"/>
        <v/>
      </c>
    </row>
    <row r="1412" spans="7:7" x14ac:dyDescent="0.3">
      <c r="G1412" s="9" t="str">
        <f t="shared" si="38"/>
        <v/>
      </c>
    </row>
    <row r="1413" spans="7:7" x14ac:dyDescent="0.3">
      <c r="G1413" s="9" t="str">
        <f t="shared" si="38"/>
        <v/>
      </c>
    </row>
    <row r="1414" spans="7:7" x14ac:dyDescent="0.3">
      <c r="G1414" s="9" t="str">
        <f t="shared" si="38"/>
        <v/>
      </c>
    </row>
    <row r="1415" spans="7:7" x14ac:dyDescent="0.3">
      <c r="G1415" s="9" t="str">
        <f t="shared" ref="G1415:G1477" si="39">IF(F1415="","",F1415*0.21)</f>
        <v/>
      </c>
    </row>
    <row r="1416" spans="7:7" x14ac:dyDescent="0.3">
      <c r="G1416" s="9" t="str">
        <f t="shared" si="39"/>
        <v/>
      </c>
    </row>
    <row r="1417" spans="7:7" x14ac:dyDescent="0.3">
      <c r="G1417" s="9" t="str">
        <f t="shared" si="39"/>
        <v/>
      </c>
    </row>
    <row r="1418" spans="7:7" x14ac:dyDescent="0.3">
      <c r="G1418" s="9" t="str">
        <f t="shared" si="39"/>
        <v/>
      </c>
    </row>
    <row r="1419" spans="7:7" x14ac:dyDescent="0.3">
      <c r="G1419" s="9" t="str">
        <f t="shared" si="39"/>
        <v/>
      </c>
    </row>
    <row r="1420" spans="7:7" x14ac:dyDescent="0.3">
      <c r="G1420" s="9" t="str">
        <f t="shared" si="39"/>
        <v/>
      </c>
    </row>
    <row r="1421" spans="7:7" x14ac:dyDescent="0.3">
      <c r="G1421" s="9" t="str">
        <f t="shared" si="39"/>
        <v/>
      </c>
    </row>
    <row r="1422" spans="7:7" x14ac:dyDescent="0.3">
      <c r="G1422" s="9" t="str">
        <f t="shared" si="39"/>
        <v/>
      </c>
    </row>
    <row r="1423" spans="7:7" x14ac:dyDescent="0.3">
      <c r="G1423" s="9" t="str">
        <f t="shared" si="39"/>
        <v/>
      </c>
    </row>
    <row r="1424" spans="7:7" x14ac:dyDescent="0.3">
      <c r="G1424" s="9" t="str">
        <f t="shared" si="39"/>
        <v/>
      </c>
    </row>
    <row r="1425" spans="7:7" x14ac:dyDescent="0.3">
      <c r="G1425" s="9" t="str">
        <f t="shared" si="39"/>
        <v/>
      </c>
    </row>
    <row r="1426" spans="7:7" x14ac:dyDescent="0.3">
      <c r="G1426" s="9" t="str">
        <f t="shared" si="39"/>
        <v/>
      </c>
    </row>
    <row r="1427" spans="7:7" x14ac:dyDescent="0.3">
      <c r="G1427" s="9" t="str">
        <f t="shared" si="39"/>
        <v/>
      </c>
    </row>
    <row r="1428" spans="7:7" x14ac:dyDescent="0.3">
      <c r="G1428" s="9" t="str">
        <f t="shared" si="39"/>
        <v/>
      </c>
    </row>
    <row r="1429" spans="7:7" x14ac:dyDescent="0.3">
      <c r="G1429" s="9" t="str">
        <f t="shared" si="39"/>
        <v/>
      </c>
    </row>
    <row r="1430" spans="7:7" x14ac:dyDescent="0.3">
      <c r="G1430" s="9" t="str">
        <f t="shared" si="39"/>
        <v/>
      </c>
    </row>
    <row r="1431" spans="7:7" x14ac:dyDescent="0.3">
      <c r="G1431" s="9" t="str">
        <f t="shared" si="39"/>
        <v/>
      </c>
    </row>
    <row r="1432" spans="7:7" x14ac:dyDescent="0.3">
      <c r="G1432" s="9" t="str">
        <f t="shared" si="39"/>
        <v/>
      </c>
    </row>
    <row r="1433" spans="7:7" x14ac:dyDescent="0.3">
      <c r="G1433" s="9" t="str">
        <f t="shared" si="39"/>
        <v/>
      </c>
    </row>
    <row r="1434" spans="7:7" x14ac:dyDescent="0.3">
      <c r="G1434" s="9" t="str">
        <f t="shared" si="39"/>
        <v/>
      </c>
    </row>
    <row r="1435" spans="7:7" x14ac:dyDescent="0.3">
      <c r="G1435" s="9" t="str">
        <f t="shared" si="39"/>
        <v/>
      </c>
    </row>
    <row r="1436" spans="7:7" x14ac:dyDescent="0.3">
      <c r="G1436" s="9" t="str">
        <f t="shared" si="39"/>
        <v/>
      </c>
    </row>
    <row r="1437" spans="7:7" x14ac:dyDescent="0.3">
      <c r="G1437" s="9" t="str">
        <f t="shared" si="39"/>
        <v/>
      </c>
    </row>
    <row r="1438" spans="7:7" x14ac:dyDescent="0.3">
      <c r="G1438" s="9" t="str">
        <f t="shared" si="39"/>
        <v/>
      </c>
    </row>
    <row r="1439" spans="7:7" x14ac:dyDescent="0.3">
      <c r="G1439" s="9" t="str">
        <f t="shared" si="39"/>
        <v/>
      </c>
    </row>
    <row r="1440" spans="7:7" x14ac:dyDescent="0.3">
      <c r="G1440" s="9" t="str">
        <f t="shared" si="39"/>
        <v/>
      </c>
    </row>
    <row r="1441" spans="7:7" x14ac:dyDescent="0.3">
      <c r="G1441" s="9" t="str">
        <f t="shared" si="39"/>
        <v/>
      </c>
    </row>
    <row r="1442" spans="7:7" x14ac:dyDescent="0.3">
      <c r="G1442" s="9" t="str">
        <f t="shared" si="39"/>
        <v/>
      </c>
    </row>
    <row r="1443" spans="7:7" x14ac:dyDescent="0.3">
      <c r="G1443" s="9" t="str">
        <f t="shared" si="39"/>
        <v/>
      </c>
    </row>
    <row r="1444" spans="7:7" x14ac:dyDescent="0.3">
      <c r="G1444" s="9" t="str">
        <f t="shared" si="39"/>
        <v/>
      </c>
    </row>
    <row r="1445" spans="7:7" x14ac:dyDescent="0.3">
      <c r="G1445" s="9" t="str">
        <f t="shared" si="39"/>
        <v/>
      </c>
    </row>
    <row r="1446" spans="7:7" x14ac:dyDescent="0.3">
      <c r="G1446" s="9" t="str">
        <f t="shared" si="39"/>
        <v/>
      </c>
    </row>
    <row r="1447" spans="7:7" x14ac:dyDescent="0.3">
      <c r="G1447" s="9" t="str">
        <f t="shared" si="39"/>
        <v/>
      </c>
    </row>
    <row r="1448" spans="7:7" x14ac:dyDescent="0.3">
      <c r="G1448" s="9" t="str">
        <f t="shared" si="39"/>
        <v/>
      </c>
    </row>
    <row r="1449" spans="7:7" x14ac:dyDescent="0.3">
      <c r="G1449" s="9" t="str">
        <f t="shared" si="39"/>
        <v/>
      </c>
    </row>
    <row r="1450" spans="7:7" x14ac:dyDescent="0.3">
      <c r="G1450" s="9" t="str">
        <f t="shared" si="39"/>
        <v/>
      </c>
    </row>
    <row r="1451" spans="7:7" x14ac:dyDescent="0.3">
      <c r="G1451" s="9" t="str">
        <f t="shared" si="39"/>
        <v/>
      </c>
    </row>
    <row r="1452" spans="7:7" x14ac:dyDescent="0.3">
      <c r="G1452" s="9" t="str">
        <f t="shared" si="39"/>
        <v/>
      </c>
    </row>
    <row r="1453" spans="7:7" x14ac:dyDescent="0.3">
      <c r="G1453" s="9" t="str">
        <f t="shared" si="39"/>
        <v/>
      </c>
    </row>
    <row r="1454" spans="7:7" x14ac:dyDescent="0.3">
      <c r="G1454" s="9" t="str">
        <f t="shared" si="39"/>
        <v/>
      </c>
    </row>
    <row r="1455" spans="7:7" x14ac:dyDescent="0.3">
      <c r="G1455" s="9" t="str">
        <f t="shared" si="39"/>
        <v/>
      </c>
    </row>
    <row r="1456" spans="7:7" x14ac:dyDescent="0.3">
      <c r="G1456" s="9" t="str">
        <f t="shared" si="39"/>
        <v/>
      </c>
    </row>
    <row r="1457" spans="7:7" x14ac:dyDescent="0.3">
      <c r="G1457" s="9" t="str">
        <f t="shared" si="39"/>
        <v/>
      </c>
    </row>
    <row r="1458" spans="7:7" x14ac:dyDescent="0.3">
      <c r="G1458" s="9" t="str">
        <f t="shared" si="39"/>
        <v/>
      </c>
    </row>
    <row r="1459" spans="7:7" x14ac:dyDescent="0.3">
      <c r="G1459" s="9" t="str">
        <f t="shared" si="39"/>
        <v/>
      </c>
    </row>
    <row r="1460" spans="7:7" x14ac:dyDescent="0.3">
      <c r="G1460" s="9" t="str">
        <f t="shared" si="39"/>
        <v/>
      </c>
    </row>
    <row r="1461" spans="7:7" x14ac:dyDescent="0.3">
      <c r="G1461" s="9" t="str">
        <f t="shared" si="39"/>
        <v/>
      </c>
    </row>
    <row r="1462" spans="7:7" x14ac:dyDescent="0.3">
      <c r="G1462" s="9" t="str">
        <f t="shared" si="39"/>
        <v/>
      </c>
    </row>
    <row r="1463" spans="7:7" x14ac:dyDescent="0.3">
      <c r="G1463" s="9" t="str">
        <f t="shared" si="39"/>
        <v/>
      </c>
    </row>
    <row r="1464" spans="7:7" x14ac:dyDescent="0.3">
      <c r="G1464" s="9" t="str">
        <f t="shared" si="39"/>
        <v/>
      </c>
    </row>
    <row r="1465" spans="7:7" x14ac:dyDescent="0.3">
      <c r="G1465" s="9" t="str">
        <f t="shared" si="39"/>
        <v/>
      </c>
    </row>
    <row r="1466" spans="7:7" x14ac:dyDescent="0.3">
      <c r="G1466" s="9" t="str">
        <f t="shared" si="39"/>
        <v/>
      </c>
    </row>
    <row r="1467" spans="7:7" x14ac:dyDescent="0.3">
      <c r="G1467" s="9" t="str">
        <f t="shared" si="39"/>
        <v/>
      </c>
    </row>
    <row r="1468" spans="7:7" x14ac:dyDescent="0.3">
      <c r="G1468" s="9" t="str">
        <f t="shared" si="39"/>
        <v/>
      </c>
    </row>
    <row r="1469" spans="7:7" x14ac:dyDescent="0.3">
      <c r="G1469" s="9" t="str">
        <f t="shared" si="39"/>
        <v/>
      </c>
    </row>
    <row r="1470" spans="7:7" x14ac:dyDescent="0.3">
      <c r="G1470" s="9" t="str">
        <f t="shared" si="39"/>
        <v/>
      </c>
    </row>
    <row r="1471" spans="7:7" x14ac:dyDescent="0.3">
      <c r="G1471" s="9" t="str">
        <f t="shared" si="39"/>
        <v/>
      </c>
    </row>
    <row r="1472" spans="7:7" x14ac:dyDescent="0.3">
      <c r="G1472" s="9" t="str">
        <f t="shared" si="39"/>
        <v/>
      </c>
    </row>
    <row r="1473" spans="7:7" x14ac:dyDescent="0.3">
      <c r="G1473" s="9" t="str">
        <f t="shared" si="39"/>
        <v/>
      </c>
    </row>
    <row r="1474" spans="7:7" x14ac:dyDescent="0.3">
      <c r="G1474" s="9" t="str">
        <f t="shared" si="39"/>
        <v/>
      </c>
    </row>
    <row r="1475" spans="7:7" x14ac:dyDescent="0.3">
      <c r="G1475" s="9" t="str">
        <f t="shared" si="39"/>
        <v/>
      </c>
    </row>
    <row r="1476" spans="7:7" x14ac:dyDescent="0.3">
      <c r="G1476" s="9" t="str">
        <f t="shared" si="39"/>
        <v/>
      </c>
    </row>
    <row r="1477" spans="7:7" x14ac:dyDescent="0.3">
      <c r="G1477" s="9" t="str">
        <f t="shared" si="39"/>
        <v/>
      </c>
    </row>
  </sheetData>
  <sheetProtection sheet="1" objects="1" scenarios="1" selectLockedCells="1"/>
  <phoneticPr fontId="32" type="noConversion"/>
  <conditionalFormatting sqref="H1:H4 H502:H1048576">
    <cfRule type="cellIs" dxfId="53" priority="150" operator="equal">
      <formula>"Openstaand"</formula>
    </cfRule>
    <cfRule type="cellIs" dxfId="52" priority="151" operator="equal">
      <formula>"Betaald"</formula>
    </cfRule>
  </conditionalFormatting>
  <conditionalFormatting sqref="J5">
    <cfRule type="cellIs" dxfId="51" priority="140" operator="equal">
      <formula>"Betaald via Bank"</formula>
    </cfRule>
    <cfRule type="cellIs" dxfId="50" priority="143" operator="equal">
      <formula>"Openstaand"</formula>
    </cfRule>
    <cfRule type="cellIs" dxfId="49" priority="144" operator="equal">
      <formula>"Betaald via Kas"</formula>
    </cfRule>
  </conditionalFormatting>
  <conditionalFormatting sqref="J36:J501">
    <cfRule type="cellIs" dxfId="48" priority="136" operator="equal">
      <formula>"Betaald via Bank"</formula>
    </cfRule>
    <cfRule type="cellIs" dxfId="47" priority="138" operator="equal">
      <formula>"Openstaand"</formula>
    </cfRule>
    <cfRule type="cellIs" dxfId="46" priority="139" operator="equal">
      <formula>"Betaald via Kas"</formula>
    </cfRule>
  </conditionalFormatting>
  <conditionalFormatting sqref="J30:J35">
    <cfRule type="cellIs" dxfId="45" priority="42" operator="equal">
      <formula>"Betaald via Bank"</formula>
    </cfRule>
    <cfRule type="cellIs" dxfId="44" priority="43" operator="equal">
      <formula>"Openstaand"</formula>
    </cfRule>
    <cfRule type="cellIs" dxfId="43" priority="44" operator="equal">
      <formula>"Betaald via Kas"</formula>
    </cfRule>
  </conditionalFormatting>
  <conditionalFormatting sqref="J27:J29">
    <cfRule type="cellIs" dxfId="42" priority="39" operator="equal">
      <formula>"Betaald via Bank"</formula>
    </cfRule>
    <cfRule type="cellIs" dxfId="41" priority="40" operator="equal">
      <formula>"Openstaand"</formula>
    </cfRule>
    <cfRule type="cellIs" dxfId="40" priority="41" operator="equal">
      <formula>"Betaald via Kas"</formula>
    </cfRule>
  </conditionalFormatting>
  <conditionalFormatting sqref="J6:J9">
    <cfRule type="cellIs" dxfId="39" priority="35" operator="equal">
      <formula>"Betaald via Bank"</formula>
    </cfRule>
    <cfRule type="cellIs" dxfId="38" priority="37" operator="equal">
      <formula>"Openstaand"</formula>
    </cfRule>
    <cfRule type="cellIs" dxfId="37" priority="38" operator="equal">
      <formula>"Betaald via Kas"</formula>
    </cfRule>
  </conditionalFormatting>
  <conditionalFormatting sqref="J6">
    <cfRule type="containsText" priority="36" operator="containsText" text="Betaald via Bank">
      <formula>NOT(ISERROR(SEARCH("Betaald via Bank",J6)))</formula>
    </cfRule>
  </conditionalFormatting>
  <conditionalFormatting sqref="J10:J11">
    <cfRule type="cellIs" dxfId="36" priority="32" operator="equal">
      <formula>"Betaald via Bank"</formula>
    </cfRule>
    <cfRule type="cellIs" dxfId="35" priority="33" operator="equal">
      <formula>"Openstaand"</formula>
    </cfRule>
    <cfRule type="cellIs" dxfId="34" priority="34" operator="equal">
      <formula>"Betaald via Kas"</formula>
    </cfRule>
  </conditionalFormatting>
  <conditionalFormatting sqref="J12:J15">
    <cfRule type="cellIs" dxfId="33" priority="28" operator="equal">
      <formula>"Betaald via Bank"</formula>
    </cfRule>
    <cfRule type="cellIs" dxfId="32" priority="30" operator="equal">
      <formula>"Openstaand"</formula>
    </cfRule>
    <cfRule type="cellIs" dxfId="31" priority="31" operator="equal">
      <formula>"Betaald via Kas"</formula>
    </cfRule>
  </conditionalFormatting>
  <conditionalFormatting sqref="J12">
    <cfRule type="containsText" priority="29" operator="containsText" text="Betaald via Bank">
      <formula>NOT(ISERROR(SEARCH("Betaald via Bank",J12)))</formula>
    </cfRule>
  </conditionalFormatting>
  <conditionalFormatting sqref="J16:J17">
    <cfRule type="cellIs" dxfId="30" priority="25" operator="equal">
      <formula>"Betaald via Bank"</formula>
    </cfRule>
    <cfRule type="cellIs" dxfId="29" priority="26" operator="equal">
      <formula>"Openstaand"</formula>
    </cfRule>
    <cfRule type="cellIs" dxfId="28" priority="27" operator="equal">
      <formula>"Betaald via Kas"</formula>
    </cfRule>
  </conditionalFormatting>
  <conditionalFormatting sqref="J18:J19">
    <cfRule type="cellIs" dxfId="27" priority="22" operator="equal">
      <formula>"Betaald via Bank"</formula>
    </cfRule>
    <cfRule type="cellIs" dxfId="26" priority="23" operator="equal">
      <formula>"Openstaand"</formula>
    </cfRule>
    <cfRule type="cellIs" dxfId="25" priority="24" operator="equal">
      <formula>"Betaald via Kas"</formula>
    </cfRule>
  </conditionalFormatting>
  <conditionalFormatting sqref="J20:J21">
    <cfRule type="cellIs" dxfId="24" priority="19" operator="equal">
      <formula>"Betaald via Bank"</formula>
    </cfRule>
    <cfRule type="cellIs" dxfId="23" priority="20" operator="equal">
      <formula>"Openstaand"</formula>
    </cfRule>
    <cfRule type="cellIs" dxfId="22" priority="21" operator="equal">
      <formula>"Betaald via Kas"</formula>
    </cfRule>
  </conditionalFormatting>
  <conditionalFormatting sqref="J22">
    <cfRule type="cellIs" dxfId="21" priority="16" operator="equal">
      <formula>"Betaald via Bank"</formula>
    </cfRule>
    <cfRule type="cellIs" dxfId="20" priority="17" operator="equal">
      <formula>"Openstaand"</formula>
    </cfRule>
    <cfRule type="cellIs" dxfId="19" priority="18" operator="equal">
      <formula>"Betaald via Kas"</formula>
    </cfRule>
  </conditionalFormatting>
  <conditionalFormatting sqref="J23:J24">
    <cfRule type="cellIs" dxfId="18" priority="13" operator="equal">
      <formula>"Betaald via Bank"</formula>
    </cfRule>
    <cfRule type="cellIs" dxfId="17" priority="14" operator="equal">
      <formula>"Openstaand"</formula>
    </cfRule>
    <cfRule type="cellIs" dxfId="16" priority="15" operator="equal">
      <formula>"Betaald via Kas"</formula>
    </cfRule>
  </conditionalFormatting>
  <conditionalFormatting sqref="J25:J26">
    <cfRule type="cellIs" dxfId="15" priority="10" operator="equal">
      <formula>"Betaald via Bank"</formula>
    </cfRule>
    <cfRule type="cellIs" dxfId="14" priority="11" operator="equal">
      <formula>"Openstaand"</formula>
    </cfRule>
    <cfRule type="cellIs" dxfId="13" priority="12" operator="equal">
      <formula>"Betaald via Kas"</formula>
    </cfRule>
  </conditionalFormatting>
  <conditionalFormatting sqref="J30">
    <cfRule type="cellIs" dxfId="12" priority="7" operator="equal">
      <formula>"Betaald via Bank"</formula>
    </cfRule>
    <cfRule type="cellIs" dxfId="11" priority="8" operator="equal">
      <formula>"Openstaand"</formula>
    </cfRule>
    <cfRule type="cellIs" dxfId="10" priority="9" operator="equal">
      <formula>"Betaald via Kas"</formula>
    </cfRule>
  </conditionalFormatting>
  <conditionalFormatting sqref="J27">
    <cfRule type="cellIs" dxfId="9" priority="4" operator="equal">
      <formula>"Betaald via Bank"</formula>
    </cfRule>
    <cfRule type="cellIs" dxfId="8" priority="5" operator="equal">
      <formula>"Openstaand"</formula>
    </cfRule>
    <cfRule type="cellIs" dxfId="7" priority="6" operator="equal">
      <formula>"Betaald via Kas"</formula>
    </cfRule>
  </conditionalFormatting>
  <conditionalFormatting sqref="J28:J29">
    <cfRule type="cellIs" dxfId="6" priority="1" operator="equal">
      <formula>"Betaald via Bank"</formula>
    </cfRule>
    <cfRule type="cellIs" dxfId="5" priority="2" operator="equal">
      <formula>"Openstaand"</formula>
    </cfRule>
    <cfRule type="cellIs" dxfId="4" priority="3" operator="equal">
      <formula>"Betaald via Kas"</formula>
    </cfRule>
  </conditionalFormatting>
  <dataValidations count="3">
    <dataValidation type="list" allowBlank="1" showInputMessage="1" showErrorMessage="1" sqref="J6:J501 H502:H1048576" xr:uid="{00000000-0002-0000-0300-000000000000}">
      <formula1>Betaalstatus</formula1>
    </dataValidation>
    <dataValidation type="list" allowBlank="1" showInputMessage="1" showErrorMessage="1" sqref="H6:H501" xr:uid="{00000000-0002-0000-0300-000001000000}">
      <formula1>btwtarieven</formula1>
    </dataValidation>
    <dataValidation type="list" allowBlank="1" showInputMessage="1" showErrorMessage="1" sqref="C6:C501" xr:uid="{00000000-0002-0000-0300-000002000000}">
      <formula1>soort</formula1>
    </dataValidation>
  </dataValidations>
  <pageMargins left="0.7" right="0.7" top="0.75" bottom="0.75" header="0.3" footer="0.3"/>
  <pageSetup paperSize="9" orientation="portrait" r:id="rId1"/>
  <headerFooter>
    <oddFooter>&amp;C_x000D_&amp;1#&amp;"Calibri"&amp;10&amp;K000000 Knab Internal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3000000}">
          <x14:formula1>
            <xm:f>OFFSET(Relaties!$C$5,1,0,COUNTA(Relaties!$C:$C)-1,1)</xm:f>
          </x14:formula1>
          <xm:sqref>F6:F501</xm:sqref>
        </x14:dataValidation>
        <x14:dataValidation type="list" allowBlank="1" xr:uid="{00000000-0002-0000-0300-000004000000}">
          <x14:formula1>
            <xm:f>OFFSET(Categorieën!$J$5,1,0,COUNTA(Categorieën!$J$5:$J$41),1)</xm:f>
          </x14:formula1>
          <xm:sqref>K6:K501</xm:sqref>
        </x14:dataValidation>
        <x14:dataValidation type="list" allowBlank="1" showInputMessage="1" showErrorMessage="1" xr:uid="{00000000-0002-0000-0300-000005000000}">
          <x14:formula1>
            <xm:f>OFFSET(Categorieën!$B$6,1,0,COUNTA(Categorieën!$C:$C)-1,1)</xm:f>
          </x14:formula1>
          <xm:sqref>I502:I1477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7">
    <pageSetUpPr fitToPage="1"/>
  </sheetPr>
  <dimension ref="A1:K56"/>
  <sheetViews>
    <sheetView showGridLines="0" showZeros="0" topLeftCell="B87" workbookViewId="0">
      <selection activeCell="D7" sqref="D7"/>
    </sheetView>
  </sheetViews>
  <sheetFormatPr defaultColWidth="9" defaultRowHeight="13" x14ac:dyDescent="0.3"/>
  <cols>
    <col min="1" max="1" width="3.8984375" customWidth="1"/>
    <col min="3" max="3" width="28.8984375" customWidth="1"/>
    <col min="4" max="4" width="13.8984375" customWidth="1"/>
    <col min="5" max="6" width="12.8984375" customWidth="1"/>
    <col min="7" max="7" width="28.8984375" customWidth="1"/>
    <col min="8" max="8" width="13.8984375" customWidth="1"/>
    <col min="9" max="9" width="27.09765625" customWidth="1"/>
    <col min="10" max="10" width="0" hidden="1" customWidth="1"/>
    <col min="11" max="11" width="20" hidden="1" customWidth="1"/>
  </cols>
  <sheetData>
    <row r="1" spans="1:11" ht="23.5" x14ac:dyDescent="0.55000000000000004">
      <c r="A1" s="14"/>
      <c r="B1" s="19" t="s">
        <v>110</v>
      </c>
      <c r="C1" s="18"/>
      <c r="D1" s="18"/>
      <c r="E1" s="30"/>
      <c r="F1" s="30"/>
      <c r="G1" s="14"/>
      <c r="H1" s="35"/>
      <c r="I1" s="35">
        <f>Basisinstellingen!C5</f>
        <v>2026</v>
      </c>
      <c r="J1" s="61"/>
    </row>
    <row r="2" spans="1:11" x14ac:dyDescent="0.3">
      <c r="A2" s="14"/>
      <c r="B2" s="18"/>
      <c r="C2" s="18"/>
      <c r="D2" s="18"/>
      <c r="E2" s="30"/>
      <c r="F2" s="30"/>
      <c r="G2" s="14"/>
      <c r="H2" s="14"/>
      <c r="I2" s="14"/>
      <c r="J2" s="61"/>
    </row>
    <row r="3" spans="1:11" x14ac:dyDescent="0.3">
      <c r="A3" s="14"/>
      <c r="B3" s="24"/>
      <c r="C3" s="24"/>
      <c r="D3" s="24"/>
      <c r="E3" s="31"/>
      <c r="F3" s="31"/>
      <c r="G3" s="14"/>
      <c r="H3" s="14"/>
      <c r="I3" s="14"/>
      <c r="J3" s="61"/>
    </row>
    <row r="4" spans="1:11" x14ac:dyDescent="0.3">
      <c r="C4" s="14"/>
    </row>
    <row r="5" spans="1:11" x14ac:dyDescent="0.3">
      <c r="B5" s="62"/>
      <c r="D5" s="163"/>
      <c r="E5" s="61"/>
      <c r="F5" s="61"/>
      <c r="H5" s="163"/>
    </row>
    <row r="6" spans="1:11" x14ac:dyDescent="0.3">
      <c r="B6" s="5" t="s">
        <v>61</v>
      </c>
      <c r="C6" s="62" t="s">
        <v>62</v>
      </c>
      <c r="D6" s="181" t="s">
        <v>182</v>
      </c>
      <c r="E6" s="62" t="s">
        <v>183</v>
      </c>
      <c r="F6" s="62"/>
      <c r="G6" s="63"/>
      <c r="H6" s="64"/>
    </row>
    <row r="7" spans="1:11" x14ac:dyDescent="0.3">
      <c r="B7" s="65" t="s">
        <v>132</v>
      </c>
      <c r="C7" s="65" t="s">
        <v>20</v>
      </c>
      <c r="D7" s="182">
        <v>0</v>
      </c>
      <c r="E7" s="178">
        <v>0</v>
      </c>
      <c r="G7" s="8"/>
      <c r="H7" s="168"/>
      <c r="K7" s="141">
        <f>D7-E7</f>
        <v>0</v>
      </c>
    </row>
    <row r="8" spans="1:11" x14ac:dyDescent="0.3">
      <c r="B8" s="65" t="s">
        <v>133</v>
      </c>
      <c r="C8" s="65" t="s">
        <v>22</v>
      </c>
      <c r="D8" s="182">
        <v>0</v>
      </c>
      <c r="E8" s="178">
        <v>0</v>
      </c>
      <c r="F8" s="164"/>
      <c r="G8" s="65"/>
      <c r="H8" s="143"/>
      <c r="K8" s="141">
        <f t="shared" ref="K8:K22" si="0">D8-E8</f>
        <v>0</v>
      </c>
    </row>
    <row r="9" spans="1:11" x14ac:dyDescent="0.3">
      <c r="B9" s="65" t="s">
        <v>134</v>
      </c>
      <c r="C9" s="65" t="s">
        <v>23</v>
      </c>
      <c r="D9" s="182">
        <v>0</v>
      </c>
      <c r="E9" s="178">
        <v>0</v>
      </c>
      <c r="F9" s="164"/>
      <c r="G9" s="61"/>
      <c r="H9" s="143"/>
      <c r="K9" s="141">
        <f t="shared" si="0"/>
        <v>0</v>
      </c>
    </row>
    <row r="10" spans="1:11" x14ac:dyDescent="0.3">
      <c r="B10" s="65" t="s">
        <v>135</v>
      </c>
      <c r="C10" s="65" t="s">
        <v>24</v>
      </c>
      <c r="D10" s="182">
        <v>0</v>
      </c>
      <c r="E10" s="178">
        <v>0</v>
      </c>
      <c r="F10" s="164"/>
      <c r="G10" s="65"/>
      <c r="H10" s="143"/>
      <c r="K10" s="141">
        <f t="shared" si="0"/>
        <v>0</v>
      </c>
    </row>
    <row r="11" spans="1:11" x14ac:dyDescent="0.3">
      <c r="B11" s="65" t="s">
        <v>136</v>
      </c>
      <c r="C11" s="65" t="s">
        <v>26</v>
      </c>
      <c r="D11" s="182">
        <v>0</v>
      </c>
      <c r="E11" s="178">
        <v>0</v>
      </c>
      <c r="F11" s="164"/>
      <c r="G11" s="61"/>
      <c r="H11" s="143"/>
      <c r="K11" s="141">
        <f t="shared" si="0"/>
        <v>0</v>
      </c>
    </row>
    <row r="12" spans="1:11" x14ac:dyDescent="0.3">
      <c r="B12" s="65" t="s">
        <v>137</v>
      </c>
      <c r="C12" s="65" t="s">
        <v>27</v>
      </c>
      <c r="D12" s="184">
        <f>IF(
SUMPRODUCT((YEAR('Verkoop &amp; Opbrengsten'!B6:B255)=Basisinstellingen!C5-1)*('Verkoop &amp; Opbrengsten'!J6:J255="Openstaand"),'Verkoop &amp; Opbrengsten'!G6:G255)+SUMPRODUCT((YEAR('Verkoop &amp; Opbrengsten'!B6:B255)=Basisinstellingen!C5-1)*('Verkoop &amp; Opbrengsten'!J6:J255="Openstaand"),'Verkoop &amp; Opbrengsten'!I6:I255)&lt;0,
"",
(SUMPRODUCT((YEAR('Verkoop &amp; Opbrengsten'!B6:B255)=Basisinstellingen!C5-1)*('Verkoop &amp; Opbrengsten'!J6:J255="Openstaand"),'Verkoop &amp; Opbrengsten'!G6:G255)+SUMPRODUCT((YEAR('Verkoop &amp; Opbrengsten'!B6:B255)=Basisinstellingen!C5-1)*('Verkoop &amp; Opbrengsten'!J6:J255="Openstaand"),'Verkoop &amp; Opbrengsten'!I6:I255))
)</f>
        <v>0</v>
      </c>
      <c r="E12" s="179">
        <f>IF(
SUMPRODUCT((YEAR('Verkoop &amp; Opbrengsten'!B6:B255)=Basisinstellingen!C5-1)*('Verkoop &amp; Opbrengsten'!J6:J255="Openstaand"),'Verkoop &amp; Opbrengsten'!G6:G255)+SUMPRODUCT((YEAR('Verkoop &amp; Opbrengsten'!B6:B255)=Basisinstellingen!C5-1)*('Verkoop &amp; Opbrengsten'!J6:J255="Openstaand"),'Verkoop &amp; Opbrengsten'!I6:I255)&gt;0,
0,
(SUMPRODUCT((YEAR('Verkoop &amp; Opbrengsten'!B6:B255)=Basisinstellingen!C5-1)*('Verkoop &amp; Opbrengsten'!J6:J255="Openstaand"),'Verkoop &amp; Opbrengsten'!G6:G255)+SUMPRODUCT((YEAR('Verkoop &amp; Opbrengsten'!B6:B255)=Basisinstellingen!C5-1)*('Verkoop &amp; Opbrengsten'!J6:J255="Openstaand"),'Verkoop &amp; Opbrengsten'!I6:I255))*-1
)</f>
        <v>0</v>
      </c>
      <c r="F12" s="185"/>
      <c r="G12" s="65"/>
      <c r="H12" s="143"/>
      <c r="K12" s="141">
        <f t="shared" si="0"/>
        <v>0</v>
      </c>
    </row>
    <row r="13" spans="1:11" x14ac:dyDescent="0.3">
      <c r="B13" t="s">
        <v>138</v>
      </c>
      <c r="C13" t="s">
        <v>28</v>
      </c>
      <c r="D13" s="182">
        <v>0</v>
      </c>
      <c r="E13" s="178">
        <v>0</v>
      </c>
      <c r="F13" s="164"/>
      <c r="G13" s="66"/>
      <c r="H13" s="143"/>
      <c r="K13" s="141">
        <f t="shared" si="0"/>
        <v>0</v>
      </c>
    </row>
    <row r="14" spans="1:11" x14ac:dyDescent="0.3">
      <c r="B14" s="65" t="s">
        <v>153</v>
      </c>
      <c r="C14" s="65" t="s">
        <v>29</v>
      </c>
      <c r="D14" s="182">
        <v>0</v>
      </c>
      <c r="E14" s="178">
        <v>0</v>
      </c>
      <c r="F14" s="164"/>
      <c r="G14" s="61"/>
      <c r="H14" s="143"/>
      <c r="K14" s="141">
        <f t="shared" si="0"/>
        <v>0</v>
      </c>
    </row>
    <row r="15" spans="1:11" x14ac:dyDescent="0.3">
      <c r="B15" s="65" t="s">
        <v>139</v>
      </c>
      <c r="C15" s="65" t="s">
        <v>30</v>
      </c>
      <c r="D15" s="182">
        <v>0</v>
      </c>
      <c r="E15" s="178">
        <v>0</v>
      </c>
      <c r="F15" s="164"/>
      <c r="G15" s="66"/>
      <c r="H15" s="143"/>
      <c r="K15" s="141">
        <f t="shared" si="0"/>
        <v>0</v>
      </c>
    </row>
    <row r="16" spans="1:11" s="167" customFormat="1" ht="12.75" customHeight="1" x14ac:dyDescent="0.3">
      <c r="B16" s="165" t="s">
        <v>154</v>
      </c>
      <c r="C16" s="165" t="s">
        <v>31</v>
      </c>
      <c r="D16" s="183">
        <v>0</v>
      </c>
      <c r="E16" s="180">
        <v>0</v>
      </c>
      <c r="F16" s="193"/>
      <c r="G16" s="166"/>
      <c r="H16" s="169"/>
      <c r="K16" s="141">
        <f t="shared" si="0"/>
        <v>0</v>
      </c>
    </row>
    <row r="17" spans="2:11" x14ac:dyDescent="0.3">
      <c r="B17" s="66" t="s">
        <v>140</v>
      </c>
      <c r="C17" s="66" t="s">
        <v>32</v>
      </c>
      <c r="D17" s="182">
        <v>0</v>
      </c>
      <c r="E17" s="177">
        <v>0</v>
      </c>
      <c r="F17" s="143"/>
      <c r="G17" s="66"/>
      <c r="H17" s="143"/>
      <c r="K17" s="141">
        <f t="shared" si="0"/>
        <v>0</v>
      </c>
    </row>
    <row r="18" spans="2:11" x14ac:dyDescent="0.3">
      <c r="B18" t="s">
        <v>155</v>
      </c>
      <c r="C18" t="s">
        <v>34</v>
      </c>
      <c r="D18" s="182">
        <v>0</v>
      </c>
      <c r="E18" s="178">
        <v>0</v>
      </c>
      <c r="F18" s="164"/>
      <c r="H18" s="164"/>
      <c r="K18" s="141">
        <f t="shared" si="0"/>
        <v>0</v>
      </c>
    </row>
    <row r="19" spans="2:11" x14ac:dyDescent="0.3">
      <c r="B19" t="s">
        <v>156</v>
      </c>
      <c r="C19" t="s">
        <v>177</v>
      </c>
      <c r="D19" s="182">
        <v>0</v>
      </c>
      <c r="E19" s="178">
        <v>0</v>
      </c>
      <c r="F19" s="164"/>
      <c r="H19" s="143"/>
      <c r="K19" s="141">
        <f t="shared" si="0"/>
        <v>0</v>
      </c>
    </row>
    <row r="20" spans="2:11" x14ac:dyDescent="0.3">
      <c r="B20" s="61" t="s">
        <v>141</v>
      </c>
      <c r="C20" s="162" t="s">
        <v>36</v>
      </c>
      <c r="D20" s="184">
        <f>IF(
SUMPRODUCT((YEAR('Inkoop &amp; Uitgaven'!B6:B255)=Basisinstellingen!C5-1)*('Inkoop &amp; Uitgaven'!J6:J255="Openstaand"),'Inkoop &amp; Uitgaven'!G6:G255)+SUMPRODUCT((YEAR('Inkoop &amp; Uitgaven'!B6:B255)=Basisinstellingen!C5-1)*('Inkoop &amp; Uitgaven'!J6:J255="Openstaand"),'Inkoop &amp; Uitgaven'!I6:I255)&gt;0,
0,
(SUMPRODUCT((YEAR('Inkoop &amp; Uitgaven'!B6:B255)=Basisinstellingen!C5-1)*('Inkoop &amp; Uitgaven'!J6:J255="Openstaand"),'Inkoop &amp; Uitgaven'!G6:G255)+SUMPRODUCT((YEAR('Inkoop &amp; Uitgaven'!B6:B255)=Basisinstellingen!C5-1)*('Inkoop &amp; Uitgaven'!J6:J255="Openstaand"),'Inkoop &amp; Uitgaven'!I6:I255))*-1
)</f>
        <v>0</v>
      </c>
      <c r="E20" s="179">
        <f>IF(
SUMPRODUCT((YEAR('Inkoop &amp; Uitgaven'!B6:B255)=Basisinstellingen!C5-1)*('Inkoop &amp; Uitgaven'!J6:J255="Openstaand"),'Inkoop &amp; Uitgaven'!G6:G255)+SUMPRODUCT((YEAR('Inkoop &amp; Uitgaven'!B6:B255)=Basisinstellingen!C5-1)*('Inkoop &amp; Uitgaven'!J6:J255="Openstaand"),'Inkoop &amp; Uitgaven'!I6:I255)&lt;0,
"",
SUMPRODUCT((YEAR('Inkoop &amp; Uitgaven'!B6:B255)=Basisinstellingen!C5-1)*('Inkoop &amp; Uitgaven'!J6:J255="Openstaand"),'Inkoop &amp; Uitgaven'!G6:G255)+SUMPRODUCT((YEAR('Inkoop &amp; Uitgaven'!B6:B255)=Basisinstellingen!C5-1)*('Inkoop &amp; Uitgaven'!J6:J255="Openstaand"),'Inkoop &amp; Uitgaven'!I6:I255)
)</f>
        <v>0</v>
      </c>
      <c r="F20" s="185"/>
      <c r="G20" s="162"/>
      <c r="H20" s="143"/>
      <c r="K20" s="141">
        <f t="shared" si="0"/>
        <v>0</v>
      </c>
    </row>
    <row r="21" spans="2:11" x14ac:dyDescent="0.3">
      <c r="B21" s="65" t="s">
        <v>157</v>
      </c>
      <c r="C21" s="65" t="s">
        <v>37</v>
      </c>
      <c r="D21" s="182">
        <v>0</v>
      </c>
      <c r="E21" s="178">
        <v>0</v>
      </c>
      <c r="F21" s="164"/>
      <c r="G21" s="8"/>
      <c r="H21" s="67"/>
      <c r="K21" s="141">
        <f t="shared" si="0"/>
        <v>0</v>
      </c>
    </row>
    <row r="22" spans="2:11" ht="13.5" thickBot="1" x14ac:dyDescent="0.35">
      <c r="B22" s="65" t="s">
        <v>142</v>
      </c>
      <c r="C22" s="65" t="s">
        <v>38</v>
      </c>
      <c r="D22" s="188">
        <v>0</v>
      </c>
      <c r="E22" s="189">
        <v>0</v>
      </c>
      <c r="F22" s="164"/>
      <c r="G22" s="8"/>
      <c r="H22" s="67"/>
      <c r="K22" s="141">
        <f t="shared" si="0"/>
        <v>0</v>
      </c>
    </row>
    <row r="23" spans="2:11" ht="13.5" thickTop="1" x14ac:dyDescent="0.3">
      <c r="B23" s="65"/>
      <c r="C23" s="186" t="s">
        <v>184</v>
      </c>
      <c r="D23" s="187">
        <f>SUM(D7:D22)</f>
        <v>0</v>
      </c>
      <c r="E23" s="187">
        <f>SUM(E7:E22)</f>
        <v>0</v>
      </c>
      <c r="G23" s="8"/>
      <c r="H23" s="67"/>
    </row>
    <row r="24" spans="2:11" x14ac:dyDescent="0.3">
      <c r="B24" s="65"/>
      <c r="D24" s="170"/>
      <c r="G24" s="8"/>
      <c r="H24" s="67"/>
    </row>
    <row r="25" spans="2:11" x14ac:dyDescent="0.3">
      <c r="B25" s="65"/>
      <c r="C25" s="171" t="s">
        <v>60</v>
      </c>
      <c r="D25" s="172">
        <f>D23-E23</f>
        <v>0</v>
      </c>
    </row>
    <row r="26" spans="2:11" x14ac:dyDescent="0.3">
      <c r="B26" s="173"/>
      <c r="C26" s="173"/>
      <c r="D26" s="174"/>
      <c r="G26" s="173"/>
      <c r="H26" s="175"/>
    </row>
    <row r="27" spans="2:11" x14ac:dyDescent="0.3">
      <c r="D27" s="141"/>
    </row>
    <row r="36" spans="2:6" hidden="1" x14ac:dyDescent="0.3"/>
    <row r="37" spans="2:6" hidden="1" x14ac:dyDescent="0.3"/>
    <row r="38" spans="2:6" hidden="1" x14ac:dyDescent="0.3">
      <c r="B38" s="5" t="s">
        <v>61</v>
      </c>
      <c r="C38" s="5" t="s">
        <v>62</v>
      </c>
      <c r="D38" s="85" t="s">
        <v>182</v>
      </c>
      <c r="E38" s="85" t="s">
        <v>183</v>
      </c>
      <c r="F38" s="85"/>
    </row>
    <row r="39" spans="2:6" hidden="1" x14ac:dyDescent="0.3">
      <c r="B39" t="s">
        <v>132</v>
      </c>
      <c r="C39" t="s">
        <v>20</v>
      </c>
      <c r="D39" s="176" t="e">
        <f>IF((Categorieën!$E$6+Beginbalans!#REF!)&gt;0,(Categorieën!$E$6+Beginbalans!#REF!),0)</f>
        <v>#REF!</v>
      </c>
      <c r="E39" s="176" t="e">
        <f>IF((Categorieën!$E$6+Beginbalans!#REF!)&lt;0,(Categorieën!$E$6+Beginbalans!#REF!)*-1,0)</f>
        <v>#REF!</v>
      </c>
      <c r="F39" s="176"/>
    </row>
    <row r="40" spans="2:6" hidden="1" x14ac:dyDescent="0.3">
      <c r="B40" t="s">
        <v>133</v>
      </c>
      <c r="C40" t="s">
        <v>22</v>
      </c>
      <c r="D40" s="176" t="e">
        <f>IF((Categorieën!$E$7+Beginbalans!#REF!)&gt;0,(Categorieën!$E$7+Beginbalans!#REF!),0)</f>
        <v>#REF!</v>
      </c>
      <c r="E40" s="176" t="e">
        <f>IF((Categorieën!$E$7+Beginbalans!#REF!)&lt;0,(Categorieën!$E$7+Beginbalans!#REF!)*-1,0)</f>
        <v>#REF!</v>
      </c>
      <c r="F40" s="176"/>
    </row>
    <row r="41" spans="2:6" hidden="1" x14ac:dyDescent="0.3">
      <c r="B41" t="s">
        <v>134</v>
      </c>
      <c r="C41" t="s">
        <v>23</v>
      </c>
      <c r="D41" s="176" t="e">
        <f>IF((Categorieën!$E$8+Beginbalans!#REF!)&lt;0,(Categorieën!$E$8+Beginbalans!#REF!)*-1,0)</f>
        <v>#REF!</v>
      </c>
      <c r="E41" s="176" t="e">
        <f>IF((Categorieën!$E$8+Beginbalans!#REF!)&gt;0,(Categorieën!$E$8+Beginbalans!#REF!),0)</f>
        <v>#REF!</v>
      </c>
      <c r="F41" s="176"/>
    </row>
    <row r="42" spans="2:6" hidden="1" x14ac:dyDescent="0.3">
      <c r="B42" t="s">
        <v>135</v>
      </c>
      <c r="C42" t="s">
        <v>24</v>
      </c>
      <c r="D42" s="176" t="e">
        <f>IF((Categorieën!$E$9+Beginbalans!#REF!)&gt;0,(Categorieën!$E$9+Beginbalans!#REF!),0)</f>
        <v>#REF!</v>
      </c>
      <c r="E42" s="176" t="e">
        <f>IF((Categorieën!$E$9+Beginbalans!#REF!)&lt;0,(Categorieën!$E$9+Beginbalans!#REF!)*-1,0)</f>
        <v>#REF!</v>
      </c>
      <c r="F42" s="176"/>
    </row>
    <row r="43" spans="2:6" hidden="1" x14ac:dyDescent="0.3">
      <c r="B43" t="s">
        <v>136</v>
      </c>
      <c r="C43" t="s">
        <v>26</v>
      </c>
      <c r="D43" s="176">
        <f>IF((Categorieën!$E$10+Beginbalans!D1)&gt;0,(Categorieën!$E$10+Beginbalans!D1),0)</f>
        <v>0</v>
      </c>
      <c r="E43" s="176">
        <f>IF((Categorieën!$E$10+Beginbalans!D1)&lt;0,(Categorieën!$E$10+Beginbalans!D1)*-1,0)</f>
        <v>0</v>
      </c>
      <c r="F43" s="176"/>
    </row>
    <row r="44" spans="2:6" hidden="1" x14ac:dyDescent="0.3">
      <c r="B44" t="s">
        <v>137</v>
      </c>
      <c r="C44" t="s">
        <v>27</v>
      </c>
      <c r="D44" s="176">
        <f>IF((Categorieën!$E$11+Beginbalans!D2)&gt;0,(Categorieën!$E$11+Beginbalans!D2),0)</f>
        <v>121</v>
      </c>
      <c r="E44" s="176">
        <f>IF((Categorieën!$E$11+Beginbalans!D2)&lt;0,(Categorieën!$E$11+Beginbalans!D2)*-1,0)</f>
        <v>0</v>
      </c>
      <c r="F44" s="176"/>
    </row>
    <row r="45" spans="2:6" hidden="1" x14ac:dyDescent="0.3">
      <c r="B45" t="s">
        <v>138</v>
      </c>
      <c r="C45" t="s">
        <v>28</v>
      </c>
      <c r="D45" s="176">
        <f>IF(Categorieën!$E$12&lt;0,Categorieën!$E$12*-1,0)</f>
        <v>0</v>
      </c>
      <c r="E45" s="176">
        <f>IF(Categorieën!$E$12&gt;0,Categorieën!$E$12,0)</f>
        <v>0</v>
      </c>
      <c r="F45" s="176"/>
    </row>
    <row r="46" spans="2:6" hidden="1" x14ac:dyDescent="0.3">
      <c r="B46" t="s">
        <v>153</v>
      </c>
      <c r="C46" t="s">
        <v>29</v>
      </c>
      <c r="D46" s="176" t="e">
        <f>IF((Categorieën!$E$13+Beginbalans!#REF!)&lt;0,(Categorieën!$E$13+Beginbalans!#REF!)*-1,0)</f>
        <v>#REF!</v>
      </c>
      <c r="E46" s="176" t="e">
        <f>IF((Categorieën!$E$13+Beginbalans!#REF!)&gt;0,(Categorieën!$E$13+Beginbalans!#REF!),0)</f>
        <v>#REF!</v>
      </c>
      <c r="F46" s="176"/>
    </row>
    <row r="47" spans="2:6" hidden="1" x14ac:dyDescent="0.3">
      <c r="B47" t="s">
        <v>139</v>
      </c>
      <c r="C47" t="s">
        <v>30</v>
      </c>
      <c r="D47" s="176">
        <f>IF((Categorieën!$E$14+Beginbalans!D4)&gt;0,(Categorieën!$E$14+Beginbalans!D4),0)</f>
        <v>0</v>
      </c>
      <c r="E47" s="176">
        <f>IF((Categorieën!$E$14+Beginbalans!D4)&lt;0,(Categorieën!$E$14+Beginbalans!D4)*-1,0)</f>
        <v>0</v>
      </c>
      <c r="F47" s="176"/>
    </row>
    <row r="48" spans="2:6" hidden="1" x14ac:dyDescent="0.3">
      <c r="B48" t="s">
        <v>154</v>
      </c>
      <c r="C48" t="s">
        <v>31</v>
      </c>
      <c r="D48" s="176">
        <f>IF((Categorieën!$E$15+Beginbalans!D5)&gt;0,(Categorieën!$E$15+Beginbalans!D5),0)</f>
        <v>0</v>
      </c>
      <c r="E48" s="176">
        <f>IF((Categorieën!$E$15+Beginbalans!D5)&lt;0,(Categorieën!$E$15+Beginbalans!D5)*-1,0)</f>
        <v>0</v>
      </c>
      <c r="F48" s="176"/>
    </row>
    <row r="49" spans="2:6" hidden="1" x14ac:dyDescent="0.3">
      <c r="B49" t="s">
        <v>140</v>
      </c>
      <c r="C49" t="s">
        <v>32</v>
      </c>
      <c r="D49" s="176">
        <f>IF((Categorieën!$E$16+Beginbalans!H5)&lt;0,(Categorieën!$E$16+Beginbalans!H5)*-1,0)</f>
        <v>21</v>
      </c>
      <c r="E49" s="176">
        <f>IF((Categorieën!$E$16+Beginbalans!H5)&gt;0,(Categorieën!$E$16+Beginbalans!H5),0)</f>
        <v>0</v>
      </c>
      <c r="F49" s="176"/>
    </row>
    <row r="50" spans="2:6" hidden="1" x14ac:dyDescent="0.3">
      <c r="B50" t="s">
        <v>155</v>
      </c>
      <c r="C50" t="s">
        <v>34</v>
      </c>
      <c r="D50" s="176">
        <f>IF((Categorieën!$E$17+Beginbalans!H6)&lt;0,(Categorieën!$E$17+Beginbalans!H6)*-1,0)</f>
        <v>0</v>
      </c>
      <c r="E50" s="176">
        <f>IF((Categorieën!$E$17+Beginbalans!H6)&gt;0,(Categorieën!$E$17+Beginbalans!H6),0)</f>
        <v>0</v>
      </c>
      <c r="F50" s="176"/>
    </row>
    <row r="51" spans="2:6" hidden="1" x14ac:dyDescent="0.3">
      <c r="B51" t="s">
        <v>156</v>
      </c>
      <c r="C51" t="s">
        <v>177</v>
      </c>
      <c r="D51" s="176" t="e">
        <f>IF((Categorieën!$E$18+Beginbalans!D6)&gt;0,(Categorieën!$E$18+Beginbalans!D6),0)</f>
        <v>#VALUE!</v>
      </c>
      <c r="E51" s="176" t="e">
        <f>IF((Categorieën!$E$18+Beginbalans!D6)&lt;0,(Categorieën!$E$18+Beginbalans!D6)*-1,0)</f>
        <v>#VALUE!</v>
      </c>
      <c r="F51" s="176"/>
    </row>
    <row r="52" spans="2:6" hidden="1" x14ac:dyDescent="0.3">
      <c r="B52" t="s">
        <v>141</v>
      </c>
      <c r="C52" t="s">
        <v>36</v>
      </c>
      <c r="D52" s="176">
        <f>IF((Categorieën!$E$19+Beginbalans!H2)&lt;0,(Categorieën!$E$19+Beginbalans!H2)*-1,0)</f>
        <v>0</v>
      </c>
      <c r="E52" s="176">
        <f>IF((Categorieën!$E$19+Beginbalans!H2)&gt;0,(Categorieën!$E$19+Beginbalans!H2),0)</f>
        <v>0</v>
      </c>
      <c r="F52" s="176"/>
    </row>
    <row r="53" spans="2:6" hidden="1" x14ac:dyDescent="0.3">
      <c r="B53" t="s">
        <v>157</v>
      </c>
      <c r="C53" t="s">
        <v>37</v>
      </c>
      <c r="D53" s="176">
        <f>IF((Categorieën!$E$20+Beginbalans!H3)&lt;0,(Categorieën!$E$20+Beginbalans!H3)*-1,0)</f>
        <v>0</v>
      </c>
      <c r="E53" s="176">
        <f>IF((Categorieën!$E$20+Beginbalans!H3)&gt;0,(Categorieën!$E$20+Beginbalans!H3),0)</f>
        <v>0</v>
      </c>
      <c r="F53" s="176"/>
    </row>
    <row r="54" spans="2:6" hidden="1" x14ac:dyDescent="0.3">
      <c r="B54" t="s">
        <v>142</v>
      </c>
      <c r="C54" t="s">
        <v>38</v>
      </c>
      <c r="D54" s="176">
        <f>IF((Categorieën!$E$21+Beginbalans!D7)&lt;0,(Categorieën!$E$21+Beginbalans!D7)*-1,0)</f>
        <v>0</v>
      </c>
      <c r="E54" s="176">
        <f>IF((Categorieën!$E$21+Beginbalans!D7)&gt;0,(Categorieën!$E$21+Beginbalans!D7),0)</f>
        <v>0</v>
      </c>
      <c r="F54" s="176"/>
    </row>
    <row r="55" spans="2:6" hidden="1" x14ac:dyDescent="0.3"/>
    <row r="56" spans="2:6" hidden="1" x14ac:dyDescent="0.3"/>
  </sheetData>
  <sheetProtection sheet="1" objects="1" scenarios="1" selectLockedCells="1"/>
  <conditionalFormatting sqref="C4 G8 G15:G17 B21:B25">
    <cfRule type="cellIs" dxfId="3" priority="10" operator="equal">
      <formula>0</formula>
    </cfRule>
  </conditionalFormatting>
  <conditionalFormatting sqref="C21:C22">
    <cfRule type="cellIs" dxfId="2" priority="9" operator="equal">
      <formula>0</formula>
    </cfRule>
  </conditionalFormatting>
  <conditionalFormatting sqref="G14 G9:G12 B14:C15 B7:C12 B17:C17">
    <cfRule type="cellIs" dxfId="1" priority="3" operator="equal">
      <formula>0</formula>
    </cfRule>
  </conditionalFormatting>
  <conditionalFormatting sqref="C25">
    <cfRule type="cellIs" dxfId="0" priority="1" operator="equal">
      <formula>0</formula>
    </cfRule>
  </conditionalFormatting>
  <pageMargins left="0.7" right="0.7" top="0.75" bottom="0.75" header="0.3" footer="0.3"/>
  <pageSetup paperSize="9" scale="66" orientation="portrait" horizontalDpi="4294967295" verticalDpi="4294967295" r:id="rId1"/>
  <headerFooter>
    <oddFooter>&amp;C_x000D_&amp;1#&amp;"Calibri"&amp;10&amp;K000000 Knab Internal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8"/>
  <dimension ref="A1:J73"/>
  <sheetViews>
    <sheetView showGridLines="0" showRowColHeaders="0" showZeros="0" workbookViewId="0">
      <selection activeCell="H30" sqref="H30"/>
    </sheetView>
  </sheetViews>
  <sheetFormatPr defaultColWidth="9" defaultRowHeight="13" x14ac:dyDescent="0.3"/>
  <cols>
    <col min="1" max="1" width="3.8984375" customWidth="1"/>
    <col min="2" max="2" width="12.8984375" style="1" customWidth="1"/>
    <col min="3" max="4" width="30.8984375" style="1" customWidth="1"/>
    <col min="5" max="5" width="21.8984375" style="7" customWidth="1"/>
    <col min="7" max="7" width="3" customWidth="1"/>
    <col min="8" max="8" width="35.09765625" customWidth="1"/>
    <col min="9" max="9" width="14.296875" customWidth="1"/>
    <col min="10" max="10" width="6.296875" hidden="1" customWidth="1"/>
  </cols>
  <sheetData>
    <row r="1" spans="1:10" ht="23.5" x14ac:dyDescent="0.55000000000000004">
      <c r="A1" s="14"/>
      <c r="B1" s="19" t="s">
        <v>109</v>
      </c>
      <c r="C1" s="18"/>
      <c r="D1" s="18"/>
      <c r="E1" s="30"/>
      <c r="F1" s="14"/>
      <c r="G1" s="14"/>
      <c r="H1" s="35">
        <f>Basisinstellingen!C5</f>
        <v>2026</v>
      </c>
    </row>
    <row r="2" spans="1:10" x14ac:dyDescent="0.3">
      <c r="A2" s="14"/>
      <c r="B2" s="18"/>
      <c r="C2" s="18"/>
      <c r="D2" s="18"/>
      <c r="E2" s="30"/>
      <c r="F2" s="14"/>
      <c r="G2" s="14"/>
      <c r="H2" s="14"/>
    </row>
    <row r="3" spans="1:10" x14ac:dyDescent="0.3">
      <c r="A3" s="14"/>
      <c r="B3" s="24"/>
      <c r="C3" s="24"/>
      <c r="D3" s="24"/>
      <c r="E3" s="31"/>
      <c r="F3" s="14"/>
      <c r="G3" s="14"/>
      <c r="H3" s="14"/>
    </row>
    <row r="5" spans="1:10" x14ac:dyDescent="0.3">
      <c r="B5" s="32" t="s">
        <v>14</v>
      </c>
      <c r="C5" s="32" t="s">
        <v>15</v>
      </c>
      <c r="D5" s="32" t="s">
        <v>19</v>
      </c>
      <c r="E5" s="33" t="s">
        <v>10</v>
      </c>
    </row>
    <row r="6" spans="1:10" x14ac:dyDescent="0.3">
      <c r="B6" s="34" t="s">
        <v>132</v>
      </c>
      <c r="C6" s="34" t="s">
        <v>20</v>
      </c>
      <c r="D6" s="34" t="s">
        <v>21</v>
      </c>
      <c r="E6" s="139">
        <f>(SUMIFS('Inkoop &amp; Uitgaven'!$G$5:$G$500,'Inkoop &amp; Uitgaven'!$K$5:$K$500,Categorieën!J7,'Inkoop &amp; Uitgaven'!$O$5:$O$500,Basisinstellingen!$C$5))-(SUMIFS('Verkoop &amp; Opbrengsten'!$G$5:$G$500,'Verkoop &amp; Opbrengsten'!$K$5:$K$500,Categorieën!J7,'Verkoop &amp; Opbrengsten'!$O$5:$O$500,Basisinstellingen!$C$5))</f>
        <v>0</v>
      </c>
      <c r="F6" s="37"/>
      <c r="G6" s="1"/>
      <c r="J6" s="96" t="s">
        <v>181</v>
      </c>
    </row>
    <row r="7" spans="1:10" x14ac:dyDescent="0.3">
      <c r="B7" s="34" t="s">
        <v>133</v>
      </c>
      <c r="C7" s="34" t="s">
        <v>22</v>
      </c>
      <c r="D7" s="34" t="s">
        <v>21</v>
      </c>
      <c r="E7" s="139">
        <f>(SUMIFS('Inkoop &amp; Uitgaven'!$G$5:$G$500,'Inkoop &amp; Uitgaven'!$K$5:$K$500,Categorieën!J8,'Inkoop &amp; Uitgaven'!$O$5:$O$500,Basisinstellingen!$C$5))-(SUMIFS('Verkoop &amp; Opbrengsten'!$G$5:$G$500,'Verkoop &amp; Opbrengsten'!$K$5:$K$500,Categorieën!J8,'Verkoop &amp; Opbrengsten'!$O$5:$O$500,Basisinstellingen!$C$5))</f>
        <v>0</v>
      </c>
      <c r="F7" s="37"/>
      <c r="G7" s="1"/>
      <c r="J7" t="str">
        <f>CONCATENATE(B6," ",C6)</f>
        <v xml:space="preserve">0130 Inventarissen </v>
      </c>
    </row>
    <row r="8" spans="1:10" x14ac:dyDescent="0.3">
      <c r="B8" s="34" t="s">
        <v>134</v>
      </c>
      <c r="C8" s="34" t="s">
        <v>23</v>
      </c>
      <c r="D8" s="34" t="s">
        <v>21</v>
      </c>
      <c r="E8" s="139">
        <f>(SUMIFS('Inkoop &amp; Uitgaven'!$G$5:$G$500,'Inkoop &amp; Uitgaven'!$K$5:$K$500,Categorieën!J9,'Inkoop &amp; Uitgaven'!$O$5:$O$500,Basisinstellingen!$C$5))-(SUMIFS('Verkoop &amp; Opbrengsten'!$G$5:$G$500,'Verkoop &amp; Opbrengsten'!$K$5:$K$500,Categorieën!J9,'Verkoop &amp; Opbrengsten'!$O$5:$O$500,Basisinstellingen!$C$5))</f>
        <v>0</v>
      </c>
      <c r="F8" s="37"/>
      <c r="G8" s="1"/>
      <c r="J8" t="str">
        <f>CONCATENATE(B7," ",C7)</f>
        <v xml:space="preserve">0140 Hardware </v>
      </c>
    </row>
    <row r="9" spans="1:10" x14ac:dyDescent="0.3">
      <c r="B9" s="34" t="s">
        <v>135</v>
      </c>
      <c r="C9" s="34" t="s">
        <v>24</v>
      </c>
      <c r="D9" s="34" t="s">
        <v>25</v>
      </c>
      <c r="E9" s="139">
        <f>SUMIFS('Verkoop &amp; Opbrengsten'!G6:G500,'Verkoop &amp; Opbrengsten'!J6:J500,"Betaald via kas",'Verkoop &amp; Opbrengsten'!O6:O500,Basisinstellingen!C5)+SUMIFS('Verkoop &amp; Opbrengsten'!I6:I500,'Verkoop &amp; Opbrengsten'!J6:J500,"Betaald via kas",'Verkoop &amp; Opbrengsten'!O6:O500,Basisinstellingen!C5)-SUMIFS('Inkoop &amp; Uitgaven'!G6:G500,'Inkoop &amp; Uitgaven'!J6:J500,"Betaald via kas",'Inkoop &amp; Uitgaven'!O6:O500,Basisinstellingen!C5)-SUMIFS('Inkoop &amp; Uitgaven'!I6:I500,'Inkoop &amp; Uitgaven'!J6:J500,"Betaald via kas",'Inkoop &amp; Uitgaven'!O6:O500,Basisinstellingen!C5)</f>
        <v>0</v>
      </c>
      <c r="F9" s="37"/>
      <c r="G9" s="1"/>
      <c r="J9" t="str">
        <f>CONCATENATE(B8," ",C8)</f>
        <v xml:space="preserve">0740 Langlopende leningen </v>
      </c>
    </row>
    <row r="10" spans="1:10" x14ac:dyDescent="0.3">
      <c r="B10" s="34" t="s">
        <v>136</v>
      </c>
      <c r="C10" s="34" t="s">
        <v>26</v>
      </c>
      <c r="D10" s="34" t="s">
        <v>25</v>
      </c>
      <c r="E10" s="139">
        <f>SUMIFS('Verkoop &amp; Opbrengsten'!G6:G500,'Verkoop &amp; Opbrengsten'!J6:J500,"Betaald via bank",'Verkoop &amp; Opbrengsten'!O6:O500,Basisinstellingen!C5)+SUMIFS('Verkoop &amp; Opbrengsten'!I6:I500,'Verkoop &amp; Opbrengsten'!J6:J500,"Betaald via bank",'Verkoop &amp; Opbrengsten'!O6:O500,Basisinstellingen!C5)-SUMIFS('Inkoop &amp; Uitgaven'!G6:G500,'Inkoop &amp; Uitgaven'!J6:J500,"Betaald via bank",'Inkoop &amp; Uitgaven'!O6:O500,Basisinstellingen!C5)-SUMIFS('Inkoop &amp; Uitgaven'!I6:I500,'Inkoop &amp; Uitgaven'!J6:J500,"Betaald via bank",'Inkoop &amp; Uitgaven'!O6:O500,Basisinstellingen!C5)</f>
        <v>0</v>
      </c>
      <c r="F10" s="37"/>
      <c r="G10" s="1"/>
      <c r="J10" t="str">
        <f>CONCATENATE(B13," ",C13)</f>
        <v xml:space="preserve">1410 Privé-opnamen en stortingen </v>
      </c>
    </row>
    <row r="11" spans="1:10" x14ac:dyDescent="0.3">
      <c r="B11" s="34" t="s">
        <v>137</v>
      </c>
      <c r="C11" s="34" t="s">
        <v>27</v>
      </c>
      <c r="D11" s="34" t="s">
        <v>27</v>
      </c>
      <c r="E11" s="139">
        <f>'Financieel overzicht'!$C$9</f>
        <v>121</v>
      </c>
      <c r="F11" s="37"/>
      <c r="G11" s="1"/>
      <c r="J11" t="str">
        <f>CONCATENATE(B14," ",C14)</f>
        <v xml:space="preserve">1500 Vorderingen (kortlopend) </v>
      </c>
    </row>
    <row r="12" spans="1:10" x14ac:dyDescent="0.3">
      <c r="B12" s="34" t="s">
        <v>138</v>
      </c>
      <c r="C12" s="34" t="s">
        <v>28</v>
      </c>
      <c r="D12" s="34" t="s">
        <v>21</v>
      </c>
      <c r="E12" s="139">
        <f>Beginbalans!H7</f>
        <v>0</v>
      </c>
      <c r="F12" s="37"/>
      <c r="G12" s="1"/>
      <c r="J12" t="str">
        <f>CONCATENATE(B18," ",C18)</f>
        <v>1650 Btw betaald/ontvangen</v>
      </c>
    </row>
    <row r="13" spans="1:10" x14ac:dyDescent="0.3">
      <c r="B13" s="34" t="s">
        <v>153</v>
      </c>
      <c r="C13" s="34" t="s">
        <v>29</v>
      </c>
      <c r="D13" s="34" t="s">
        <v>21</v>
      </c>
      <c r="E13" s="139">
        <f>(SUMIFS('Inkoop &amp; Uitgaven'!$G$5:$G$500,'Inkoop &amp; Uitgaven'!$K$5:$K$500,Categorieën!J10,'Inkoop &amp; Uitgaven'!$O$5:$O$500,Basisinstellingen!$C$5))-(SUMIFS('Verkoop &amp; Opbrengsten'!$G$5:$G$500,'Verkoop &amp; Opbrengsten'!$K$5:$K$500,Categorieën!J10,'Verkoop &amp; Opbrengsten'!$O$5:$O$500,Basisinstellingen!$C$5))</f>
        <v>0</v>
      </c>
      <c r="F13" s="37"/>
      <c r="G13" s="1"/>
      <c r="J13" t="str">
        <f>CONCATENATE(B20," ",C20)</f>
        <v xml:space="preserve">1800 Schulden (kortlopend) </v>
      </c>
    </row>
    <row r="14" spans="1:10" x14ac:dyDescent="0.3">
      <c r="B14" s="34" t="s">
        <v>139</v>
      </c>
      <c r="C14" s="34" t="s">
        <v>30</v>
      </c>
      <c r="D14" s="34" t="s">
        <v>21</v>
      </c>
      <c r="E14" s="139">
        <f>(SUMIFS('Inkoop &amp; Uitgaven'!$G$5:$G$500,'Inkoop &amp; Uitgaven'!$K$5:$K$500,Categorieën!J11,'Inkoop &amp; Uitgaven'!$O$5:$O$500,Basisinstellingen!$C$5))-(SUMIFS('Verkoop &amp; Opbrengsten'!$G$5:$G$500,'Verkoop &amp; Opbrengsten'!$K$5:$K$500,Categorieën!J11,'Verkoop &amp; Opbrengsten'!$O$5:$O$500,Basisinstellingen!$C$5))</f>
        <v>0</v>
      </c>
      <c r="F14" s="37"/>
      <c r="G14" s="1"/>
      <c r="J14" t="str">
        <f>CONCATENATE(B21," ",C21)</f>
        <v xml:space="preserve">2000 Kruisposten </v>
      </c>
    </row>
    <row r="15" spans="1:10" x14ac:dyDescent="0.3">
      <c r="B15" s="34" t="s">
        <v>154</v>
      </c>
      <c r="C15" s="34" t="s">
        <v>31</v>
      </c>
      <c r="D15" s="34" t="s">
        <v>31</v>
      </c>
      <c r="E15" s="139">
        <f>'Financieel overzicht'!$C$13</f>
        <v>0</v>
      </c>
      <c r="F15" s="37"/>
      <c r="G15" s="1"/>
      <c r="J15" s="96" t="s">
        <v>178</v>
      </c>
    </row>
    <row r="16" spans="1:10" x14ac:dyDescent="0.3">
      <c r="B16" s="34" t="s">
        <v>140</v>
      </c>
      <c r="C16" s="34" t="s">
        <v>32</v>
      </c>
      <c r="D16" s="34" t="s">
        <v>33</v>
      </c>
      <c r="E16" s="139">
        <f>-SUMIFS('Verkoop &amp; Opbrengsten'!$I$6:$I$500,'Verkoop &amp; Opbrengsten'!$H$6:$H$500,0.21,'Verkoop &amp; Opbrengsten'!O6:O500,Basisinstellingen!$C$5)</f>
        <v>-21</v>
      </c>
      <c r="F16" s="37"/>
      <c r="G16" s="1"/>
      <c r="J16" t="str">
        <f t="shared" ref="J16:J34" si="0">CONCATENATE(B22," ",C22)</f>
        <v xml:space="preserve">4500 Contributies en abonnementen </v>
      </c>
    </row>
    <row r="17" spans="2:10" x14ac:dyDescent="0.3">
      <c r="B17" s="34" t="s">
        <v>155</v>
      </c>
      <c r="C17" s="34" t="s">
        <v>34</v>
      </c>
      <c r="D17" s="34" t="s">
        <v>34</v>
      </c>
      <c r="E17" s="139">
        <f>-SUMIFS('Verkoop &amp; Opbrengsten'!$I$6:$I$500,'Verkoop &amp; Opbrengsten'!$H$6:$H$500,0.09,'Verkoop &amp; Opbrengsten'!O6:O500,Basisinstellingen!$C$5)</f>
        <v>0</v>
      </c>
      <c r="F17" s="37"/>
      <c r="G17" s="1"/>
      <c r="J17" t="str">
        <f t="shared" si="0"/>
        <v xml:space="preserve">4510 Reclame en advertenties </v>
      </c>
    </row>
    <row r="18" spans="2:10" x14ac:dyDescent="0.3">
      <c r="B18" s="34" t="s">
        <v>156</v>
      </c>
      <c r="C18" s="34" t="s">
        <v>177</v>
      </c>
      <c r="D18" s="34" t="s">
        <v>35</v>
      </c>
      <c r="E18" s="139">
        <f>(SUMIFS('Inkoop &amp; Uitgaven'!$G$5:$G$500,'Inkoop &amp; Uitgaven'!$K$5:$K$500,Categorieën!J12,'Inkoop &amp; Uitgaven'!$O$5:$O$500,Basisinstellingen!$C$5))-(SUMIFS('Verkoop &amp; Opbrengsten'!$G$5:$G$500,'Verkoop &amp; Opbrengsten'!$K$5:$K$500,Categorieën!J12,'Verkoop &amp; Opbrengsten'!$O$5:$O$500,Basisinstellingen!$C$5))</f>
        <v>0</v>
      </c>
      <c r="F18" s="37"/>
      <c r="G18" s="1"/>
      <c r="J18" t="str">
        <f t="shared" si="0"/>
        <v xml:space="preserve">4520 Representatie en verteer </v>
      </c>
    </row>
    <row r="19" spans="2:10" x14ac:dyDescent="0.3">
      <c r="B19" s="34" t="s">
        <v>141</v>
      </c>
      <c r="C19" s="34" t="s">
        <v>36</v>
      </c>
      <c r="D19" s="34" t="s">
        <v>36</v>
      </c>
      <c r="E19" s="139">
        <f>-('Financieel overzicht'!$C$15)</f>
        <v>0</v>
      </c>
      <c r="F19" s="37"/>
      <c r="G19" s="1"/>
      <c r="J19" t="str">
        <f t="shared" si="0"/>
        <v xml:space="preserve">4530 Reis- en verblijfkosten </v>
      </c>
    </row>
    <row r="20" spans="2:10" x14ac:dyDescent="0.3">
      <c r="B20" s="34" t="s">
        <v>157</v>
      </c>
      <c r="C20" s="34" t="s">
        <v>37</v>
      </c>
      <c r="D20" s="34" t="s">
        <v>21</v>
      </c>
      <c r="E20" s="139">
        <f>(SUMIFS('Inkoop &amp; Uitgaven'!$G$5:$G$500,'Inkoop &amp; Uitgaven'!$K$5:$K$500,Categorieën!J13,'Inkoop &amp; Uitgaven'!$O$5:$O$500,Basisinstellingen!$C$5))-(SUMIFS('Verkoop &amp; Opbrengsten'!$G$5:$G$500,'Verkoop &amp; Opbrengsten'!$K$5:$K$500,Categorieën!J13,'Verkoop &amp; Opbrengsten'!$O$5:$O$500,Basisinstellingen!$C$5))</f>
        <v>0</v>
      </c>
      <c r="F20" s="37"/>
      <c r="G20" s="1"/>
      <c r="J20" t="str">
        <f t="shared" si="0"/>
        <v xml:space="preserve">4540 Relatiegeschenken </v>
      </c>
    </row>
    <row r="21" spans="2:10" x14ac:dyDescent="0.3">
      <c r="B21" s="34" t="s">
        <v>142</v>
      </c>
      <c r="C21" s="34" t="s">
        <v>38</v>
      </c>
      <c r="D21" s="34" t="s">
        <v>21</v>
      </c>
      <c r="E21" s="139">
        <f>(SUMIFS('Verkoop &amp; Opbrengsten'!$G$5:$G$500,'Verkoop &amp; Opbrengsten'!$K$5:$K$500,Categorieën!J14,'Verkoop &amp; Opbrengsten'!$O$5:$O$500,Basisinstellingen!$C$5))-(SUMIFS('Inkoop &amp; Uitgaven'!$G$5:$G$500,'Inkoop &amp; Uitgaven'!$K$5:$K$500,Categorieën!J14,'Inkoop &amp; Uitgaven'!$O$5:$O$500,Basisinstellingen!$C$5))</f>
        <v>0</v>
      </c>
      <c r="F21" s="37"/>
      <c r="G21" s="1"/>
      <c r="J21" t="str">
        <f t="shared" si="0"/>
        <v xml:space="preserve">4545 Verzekeringen </v>
      </c>
    </row>
    <row r="22" spans="2:10" x14ac:dyDescent="0.3">
      <c r="B22" s="34" t="s">
        <v>158</v>
      </c>
      <c r="C22" s="34" t="s">
        <v>40</v>
      </c>
      <c r="D22" s="34" t="s">
        <v>39</v>
      </c>
      <c r="E22" s="139">
        <f>SUMIFS('Inkoop &amp; Uitgaven'!$G$5:$G$500,'Inkoop &amp; Uitgaven'!$K$5:$K$500,Categorieën!J16,'Inkoop &amp; Uitgaven'!$O$5:$O$500,Basisinstellingen!$C$5)-SUMIFS('Verkoop &amp; Opbrengsten'!$G$5:$G$500,'Verkoop &amp; Opbrengsten'!$K$5:$K$500,Categorieën!J16,'Verkoop &amp; Opbrengsten'!$O$5:$O$500,Basisinstellingen!$C$5)</f>
        <v>0</v>
      </c>
      <c r="F22" s="37"/>
      <c r="G22" s="1"/>
      <c r="J22" t="str">
        <f t="shared" si="0"/>
        <v xml:space="preserve">4550 Bankkosten </v>
      </c>
    </row>
    <row r="23" spans="2:10" x14ac:dyDescent="0.3">
      <c r="B23" s="34" t="s">
        <v>143</v>
      </c>
      <c r="C23" s="34" t="s">
        <v>41</v>
      </c>
      <c r="D23" s="34" t="s">
        <v>39</v>
      </c>
      <c r="E23" s="139">
        <f>SUMIFS('Inkoop &amp; Uitgaven'!$G$5:$G$500,'Inkoop &amp; Uitgaven'!$K$5:$K$500,Categorieën!J17,'Inkoop &amp; Uitgaven'!$O$5:$O$500,Basisinstellingen!$C$5)-SUMIFS('Verkoop &amp; Opbrengsten'!$G$5:$G$500,'Verkoop &amp; Opbrengsten'!$K$5:$K$500,Categorieën!J17,'Verkoop &amp; Opbrengsten'!$O$5:$O$500,Basisinstellingen!$C$5)</f>
        <v>0</v>
      </c>
      <c r="G23" s="1"/>
      <c r="J23" t="str">
        <f t="shared" si="0"/>
        <v xml:space="preserve">4590 Overige verkoopkosten </v>
      </c>
    </row>
    <row r="24" spans="2:10" x14ac:dyDescent="0.3">
      <c r="B24" s="34" t="s">
        <v>159</v>
      </c>
      <c r="C24" s="34" t="s">
        <v>42</v>
      </c>
      <c r="D24" s="34" t="s">
        <v>39</v>
      </c>
      <c r="E24" s="139">
        <f>SUMIFS('Inkoop &amp; Uitgaven'!$G$5:$G$500,'Inkoop &amp; Uitgaven'!$K$5:$K$500,Categorieën!J18,'Inkoop &amp; Uitgaven'!$O$5:$O$500,Basisinstellingen!$C$5)-SUMIFS('Verkoop &amp; Opbrengsten'!$G$5:$G$500,'Verkoop &amp; Opbrengsten'!$K$5:$K$500,Categorieën!J18,'Verkoop &amp; Opbrengsten'!$O$5:$O$500,Basisinstellingen!$C$5)</f>
        <v>0</v>
      </c>
      <c r="G24" s="1"/>
      <c r="J24" t="str">
        <f t="shared" si="0"/>
        <v xml:space="preserve">4600 Kilometervergoeding </v>
      </c>
    </row>
    <row r="25" spans="2:10" x14ac:dyDescent="0.3">
      <c r="B25" s="34" t="s">
        <v>144</v>
      </c>
      <c r="C25" s="34" t="s">
        <v>43</v>
      </c>
      <c r="D25" s="34" t="s">
        <v>39</v>
      </c>
      <c r="E25" s="139">
        <f>SUMIFS('Inkoop &amp; Uitgaven'!$G$5:$G$500,'Inkoop &amp; Uitgaven'!$K$5:$K$500,Categorieën!J19,'Inkoop &amp; Uitgaven'!$O$5:$O$500,Basisinstellingen!$C$5)-SUMIFS('Verkoop &amp; Opbrengsten'!$G$5:$G$500,'Verkoop &amp; Opbrengsten'!$K$5:$K$500,Categorieën!J19,'Verkoop &amp; Opbrengsten'!$O$5:$O$500,Basisinstellingen!$C$5)</f>
        <v>0</v>
      </c>
      <c r="G25" s="1"/>
      <c r="J25" t="str">
        <f t="shared" si="0"/>
        <v xml:space="preserve">4700 Kantoorbenodigdheden </v>
      </c>
    </row>
    <row r="26" spans="2:10" x14ac:dyDescent="0.3">
      <c r="B26" s="34" t="s">
        <v>160</v>
      </c>
      <c r="C26" s="34" t="s">
        <v>44</v>
      </c>
      <c r="D26" s="34" t="s">
        <v>39</v>
      </c>
      <c r="E26" s="139">
        <f>SUMIFS('Inkoop &amp; Uitgaven'!$G$5:$G$500,'Inkoop &amp; Uitgaven'!$K$5:$K$500,Categorieën!J20,'Inkoop &amp; Uitgaven'!$O$5:$O$500,Basisinstellingen!$C$5)-SUMIFS('Verkoop &amp; Opbrengsten'!$G$5:$G$500,'Verkoop &amp; Opbrengsten'!$K$5:$K$500,Categorieën!J20,'Verkoop &amp; Opbrengsten'!$O$5:$O$500,Basisinstellingen!$C$5)</f>
        <v>0</v>
      </c>
      <c r="G26" s="1"/>
      <c r="J26" t="str">
        <f t="shared" si="0"/>
        <v xml:space="preserve">4740 Drukwerk, porti en vrachten </v>
      </c>
    </row>
    <row r="27" spans="2:10" x14ac:dyDescent="0.3">
      <c r="B27" s="34" t="s">
        <v>145</v>
      </c>
      <c r="C27" s="34" t="s">
        <v>45</v>
      </c>
      <c r="D27" s="34" t="s">
        <v>39</v>
      </c>
      <c r="E27" s="139">
        <f>SUMIFS('Inkoop &amp; Uitgaven'!$G$5:$G$500,'Inkoop &amp; Uitgaven'!$K$5:$K$500,Categorieën!J21,'Inkoop &amp; Uitgaven'!$O$5:$O$500,Basisinstellingen!$C$5)-SUMIFS('Verkoop &amp; Opbrengsten'!$G$5:$G$500,'Verkoop &amp; Opbrengsten'!$K$5:$K$500,Categorieën!J21,'Verkoop &amp; Opbrengsten'!$O$5:$O$500,Basisinstellingen!$C$5)</f>
        <v>0</v>
      </c>
      <c r="G27" s="1"/>
      <c r="J27" t="str">
        <f t="shared" si="0"/>
        <v>4750 Telefoon en internet</v>
      </c>
    </row>
    <row r="28" spans="2:10" x14ac:dyDescent="0.3">
      <c r="B28" s="34" t="s">
        <v>161</v>
      </c>
      <c r="C28" s="34" t="s">
        <v>46</v>
      </c>
      <c r="D28" s="34" t="s">
        <v>39</v>
      </c>
      <c r="E28" s="139">
        <f>SUMIFS('Inkoop &amp; Uitgaven'!$G$5:$G$500,'Inkoop &amp; Uitgaven'!$K$5:$K$500,Categorieën!J22,'Inkoop &amp; Uitgaven'!$O$5:$O$500,Basisinstellingen!$C$5)-SUMIFS('Verkoop &amp; Opbrengsten'!$G$5:$G$500,'Verkoop &amp; Opbrengsten'!$K$5:$K$500,Categorieën!J22,'Verkoop &amp; Opbrengsten'!$O$5:$O$500,Basisinstellingen!$C$5)</f>
        <v>0</v>
      </c>
      <c r="G28" s="1"/>
      <c r="J28" t="str">
        <f t="shared" si="0"/>
        <v xml:space="preserve">4790 Overige kantoorkosten </v>
      </c>
    </row>
    <row r="29" spans="2:10" x14ac:dyDescent="0.3">
      <c r="B29" s="34" t="s">
        <v>146</v>
      </c>
      <c r="C29" s="34" t="s">
        <v>47</v>
      </c>
      <c r="D29" s="34" t="s">
        <v>39</v>
      </c>
      <c r="E29" s="139">
        <f>SUMIFS('Inkoop &amp; Uitgaven'!$G$5:$G$500,'Inkoop &amp; Uitgaven'!$K$5:$K$500,Categorieën!J23,'Inkoop &amp; Uitgaven'!$O$5:$O$500,Basisinstellingen!$C$5)-SUMIFS('Verkoop &amp; Opbrengsten'!$G$5:$G$500,'Verkoop &amp; Opbrengsten'!$K$5:$K$500,Categorieën!J23,'Verkoop &amp; Opbrengsten'!$O$5:$O$500,Basisinstellingen!$C$5)</f>
        <v>0</v>
      </c>
      <c r="G29" s="1"/>
      <c r="J29" t="str">
        <f t="shared" si="0"/>
        <v xml:space="preserve">4810 Accountants- en administratiekosten </v>
      </c>
    </row>
    <row r="30" spans="2:10" x14ac:dyDescent="0.3">
      <c r="B30" s="34" t="s">
        <v>162</v>
      </c>
      <c r="C30" s="34" t="s">
        <v>48</v>
      </c>
      <c r="D30" s="34" t="s">
        <v>39</v>
      </c>
      <c r="E30" s="139">
        <f>SUMIFS('Inkoop &amp; Uitgaven'!$G$5:$G$500,'Inkoop &amp; Uitgaven'!$K$5:$K$500,Categorieën!J24,'Inkoop &amp; Uitgaven'!$O$5:$O$500,Basisinstellingen!$C$5)-SUMIFS('Verkoop &amp; Opbrengsten'!$G$5:$G$500,'Verkoop &amp; Opbrengsten'!$K$5:$K$500,Categorieën!J24,'Verkoop &amp; Opbrengsten'!$O$5:$O$500,Basisinstellingen!$C$5)</f>
        <v>0</v>
      </c>
      <c r="G30" s="1"/>
      <c r="J30" t="str">
        <f t="shared" si="0"/>
        <v xml:space="preserve">4850 Cursussen/seminars </v>
      </c>
    </row>
    <row r="31" spans="2:10" x14ac:dyDescent="0.3">
      <c r="B31" s="34" t="s">
        <v>147</v>
      </c>
      <c r="C31" s="34" t="s">
        <v>49</v>
      </c>
      <c r="D31" s="34" t="s">
        <v>39</v>
      </c>
      <c r="E31" s="139">
        <f>SUMIFS('Inkoop &amp; Uitgaven'!$G$5:$G$500,'Inkoop &amp; Uitgaven'!$K$5:$K$500,Categorieën!J25,'Inkoop &amp; Uitgaven'!$O$5:$O$500,Basisinstellingen!$C$5)-SUMIFS('Verkoop &amp; Opbrengsten'!$G$5:$G$500,'Verkoop &amp; Opbrengsten'!$K$5:$K$500,Categorieën!J25,'Verkoop &amp; Opbrengsten'!$O$5:$O$500,Basisinstellingen!$C$5)</f>
        <v>0</v>
      </c>
      <c r="G31" s="1"/>
      <c r="J31" t="str">
        <f t="shared" si="0"/>
        <v xml:space="preserve">4860 Vakliteratuur </v>
      </c>
    </row>
    <row r="32" spans="2:10" x14ac:dyDescent="0.3">
      <c r="B32" s="34" t="s">
        <v>163</v>
      </c>
      <c r="C32" s="34" t="s">
        <v>50</v>
      </c>
      <c r="D32" s="34" t="s">
        <v>39</v>
      </c>
      <c r="E32" s="139">
        <f>SUMIFS('Inkoop &amp; Uitgaven'!$G$5:$G$500,'Inkoop &amp; Uitgaven'!$K$5:$K$500,Categorieën!J26,'Inkoop &amp; Uitgaven'!$O$5:$O$500,Basisinstellingen!$C$5)-SUMIFS('Verkoop &amp; Opbrengsten'!$G$5:$G$500,'Verkoop &amp; Opbrengsten'!$K$5:$K$500,Categorieën!J26,'Verkoop &amp; Opbrengsten'!$O$5:$O$500,Basisinstellingen!$C$5)</f>
        <v>0</v>
      </c>
      <c r="G32" s="1"/>
      <c r="J32" t="str">
        <f t="shared" si="0"/>
        <v xml:space="preserve">4900 Betalingsverschillen </v>
      </c>
    </row>
    <row r="33" spans="2:10" x14ac:dyDescent="0.3">
      <c r="B33" s="34" t="s">
        <v>148</v>
      </c>
      <c r="C33" s="34" t="s">
        <v>88</v>
      </c>
      <c r="D33" s="34" t="s">
        <v>39</v>
      </c>
      <c r="E33" s="139">
        <f>SUMIFS('Inkoop &amp; Uitgaven'!$G$5:$G$500,'Inkoop &amp; Uitgaven'!$K$5:$K$500,Categorieën!J27,'Inkoop &amp; Uitgaven'!$O$5:$O$500,Basisinstellingen!$C$5)-SUMIFS('Verkoop &amp; Opbrengsten'!$G$5:$G$500,'Verkoop &amp; Opbrengsten'!$K$5:$K$500,Categorieën!J27,'Verkoop &amp; Opbrengsten'!$O$5:$O$500,Basisinstellingen!$C$5)</f>
        <v>0</v>
      </c>
      <c r="G33" s="1"/>
      <c r="J33" t="str">
        <f t="shared" si="0"/>
        <v xml:space="preserve">4950 Oninbare vorderingen </v>
      </c>
    </row>
    <row r="34" spans="2:10" x14ac:dyDescent="0.3">
      <c r="B34" s="34" t="s">
        <v>164</v>
      </c>
      <c r="C34" s="34" t="s">
        <v>51</v>
      </c>
      <c r="D34" s="34" t="s">
        <v>39</v>
      </c>
      <c r="E34" s="139">
        <f>SUMIFS('Inkoop &amp; Uitgaven'!$G$5:$G$500,'Inkoop &amp; Uitgaven'!$K$5:$K$500,Categorieën!J28,'Inkoop &amp; Uitgaven'!$O$5:$O$500,Basisinstellingen!$C$5)-SUMIFS('Verkoop &amp; Opbrengsten'!$G$5:$G$500,'Verkoop &amp; Opbrengsten'!$K$5:$K$500,Categorieën!J28,'Verkoop &amp; Opbrengsten'!$O$5:$O$500,Basisinstellingen!$C$5)</f>
        <v>0</v>
      </c>
      <c r="G34" s="1"/>
      <c r="J34" t="str">
        <f t="shared" si="0"/>
        <v xml:space="preserve">7000 Inkopen </v>
      </c>
    </row>
    <row r="35" spans="2:10" x14ac:dyDescent="0.3">
      <c r="B35" s="34" t="s">
        <v>149</v>
      </c>
      <c r="C35" s="34" t="s">
        <v>52</v>
      </c>
      <c r="D35" s="34" t="s">
        <v>39</v>
      </c>
      <c r="E35" s="139">
        <f>SUMIFS('Inkoop &amp; Uitgaven'!$G$5:$G$500,'Inkoop &amp; Uitgaven'!$K$5:$K$500,Categorieën!J29,'Inkoop &amp; Uitgaven'!$O$5:$O$500,Basisinstellingen!$C$5)-SUMIFS('Verkoop &amp; Opbrengsten'!$G$5:$G$500,'Verkoop &amp; Opbrengsten'!$K$5:$K$500,Categorieën!J29,'Verkoop &amp; Opbrengsten'!$O$5:$O$500,Basisinstellingen!$C$5)</f>
        <v>0</v>
      </c>
      <c r="G35" s="1"/>
      <c r="J35" s="96" t="s">
        <v>179</v>
      </c>
    </row>
    <row r="36" spans="2:10" x14ac:dyDescent="0.3">
      <c r="B36" s="34" t="s">
        <v>165</v>
      </c>
      <c r="C36" s="34" t="s">
        <v>53</v>
      </c>
      <c r="D36" s="34" t="s">
        <v>39</v>
      </c>
      <c r="E36" s="139">
        <f>SUMIFS('Inkoop &amp; Uitgaven'!$G$5:$G$500,'Inkoop &amp; Uitgaven'!$K$5:$K$500,Categorieën!J30,'Inkoop &amp; Uitgaven'!$O$5:$O$500,Basisinstellingen!$C$5)-SUMIFS('Verkoop &amp; Opbrengsten'!$G$5:$G$500,'Verkoop &amp; Opbrengsten'!$K$5:$K$500,Categorieën!J30,'Verkoop &amp; Opbrengsten'!$O$5:$O$500,Basisinstellingen!$C$5)</f>
        <v>0</v>
      </c>
      <c r="G36" s="1"/>
      <c r="J36" t="str">
        <f>CONCATENATE(B41," ",C41)</f>
        <v xml:space="preserve">8000 Omzet NL </v>
      </c>
    </row>
    <row r="37" spans="2:10" x14ac:dyDescent="0.3">
      <c r="B37" s="34" t="s">
        <v>150</v>
      </c>
      <c r="C37" s="34" t="s">
        <v>54</v>
      </c>
      <c r="D37" s="34" t="s">
        <v>39</v>
      </c>
      <c r="E37" s="139">
        <f>SUMIFS('Inkoop &amp; Uitgaven'!$G$5:$G$500,'Inkoop &amp; Uitgaven'!$K$5:$K$500,Categorieën!J31,'Inkoop &amp; Uitgaven'!$O$5:$O$500,Basisinstellingen!$C$5)-SUMIFS('Verkoop &amp; Opbrengsten'!$G$5:$G$500,'Verkoop &amp; Opbrengsten'!$K$5:$K$500,Categorieën!J31,'Verkoop &amp; Opbrengsten'!$O$5:$O$500,Basisinstellingen!$C$5)</f>
        <v>0</v>
      </c>
      <c r="G37" s="1"/>
      <c r="J37" t="str">
        <f>CONCATENATE(B42," ",C42)</f>
        <v xml:space="preserve">8010 Omzet EU </v>
      </c>
    </row>
    <row r="38" spans="2:10" x14ac:dyDescent="0.3">
      <c r="B38" s="34" t="s">
        <v>166</v>
      </c>
      <c r="C38" s="34" t="s">
        <v>55</v>
      </c>
      <c r="D38" s="34" t="s">
        <v>39</v>
      </c>
      <c r="E38" s="139">
        <f>SUMIFS('Inkoop &amp; Uitgaven'!$G$5:$G$500,'Inkoop &amp; Uitgaven'!$K$5:$K$500,Categorieën!J32,'Inkoop &amp; Uitgaven'!$O$5:$O$500,Basisinstellingen!$C$5)-SUMIFS('Verkoop &amp; Opbrengsten'!$G$5:$G$500,'Verkoop &amp; Opbrengsten'!$K$5:$K$500,Categorieën!J32,'Verkoop &amp; Opbrengsten'!$O$5:$O$500,Basisinstellingen!$C$5)</f>
        <v>0</v>
      </c>
    </row>
    <row r="39" spans="2:10" x14ac:dyDescent="0.3">
      <c r="B39" s="34" t="s">
        <v>151</v>
      </c>
      <c r="C39" s="34" t="s">
        <v>56</v>
      </c>
      <c r="D39" s="34" t="s">
        <v>39</v>
      </c>
      <c r="E39" s="139">
        <f>SUMIFS('Inkoop &amp; Uitgaven'!$G$5:$G$500,'Inkoop &amp; Uitgaven'!$K$5:$K$500,Categorieën!J33,'Inkoop &amp; Uitgaven'!$O$5:$O$500,Basisinstellingen!$C$5)-SUMIFS('Verkoop &amp; Opbrengsten'!$G$5:$G$500,'Verkoop &amp; Opbrengsten'!$K$5:$K$500,Categorieën!J33,'Verkoop &amp; Opbrengsten'!$O$5:$O$500,Basisinstellingen!$C$5)</f>
        <v>0</v>
      </c>
    </row>
    <row r="40" spans="2:10" x14ac:dyDescent="0.3">
      <c r="B40" s="34" t="s">
        <v>167</v>
      </c>
      <c r="C40" s="34" t="s">
        <v>57</v>
      </c>
      <c r="D40" s="34" t="s">
        <v>39</v>
      </c>
      <c r="E40" s="139">
        <f>SUMIFS('Inkoop &amp; Uitgaven'!$G$5:$G$500,'Inkoop &amp; Uitgaven'!$K$5:$K$500,Categorieën!J34,'Inkoop &amp; Uitgaven'!$O$5:$O$500,Basisinstellingen!$C$5)-SUMIFS('Verkoop &amp; Opbrengsten'!$G$5:$G$500,'Verkoop &amp; Opbrengsten'!$K$5:$K$500,Categorieën!J34,'Verkoop &amp; Opbrengsten'!$O$5:$O$500,Basisinstellingen!$C$5)</f>
        <v>0</v>
      </c>
    </row>
    <row r="41" spans="2:10" x14ac:dyDescent="0.3">
      <c r="B41" s="34" t="s">
        <v>152</v>
      </c>
      <c r="C41" s="34" t="s">
        <v>58</v>
      </c>
      <c r="D41" s="34" t="s">
        <v>39</v>
      </c>
      <c r="E41" s="139">
        <f>SUMIFS('Verkoop &amp; Opbrengsten'!$G$5:$G$500,'Verkoop &amp; Opbrengsten'!$K$5:$K$500,Categorieën!J36,'Verkoop &amp; Opbrengsten'!$O$5:$O$500,Basisinstellingen!$C$5)-SUMIFS('Inkoop &amp; Uitgaven'!$G$5:$G$500,'Inkoop &amp; Uitgaven'!$K$5:$K$500,Categorieën!J36,'Inkoop &amp; Uitgaven'!$O$5:$O$500,Basisinstellingen!$C$5)</f>
        <v>100</v>
      </c>
    </row>
    <row r="42" spans="2:10" x14ac:dyDescent="0.3">
      <c r="B42" s="34" t="s">
        <v>131</v>
      </c>
      <c r="C42" s="34" t="s">
        <v>59</v>
      </c>
      <c r="D42" s="34" t="s">
        <v>39</v>
      </c>
      <c r="E42" s="139">
        <f>SUMIFS('Verkoop &amp; Opbrengsten'!$G$5:$G$500,'Verkoop &amp; Opbrengsten'!$K$5:$K$500,Categorieën!J37,'Verkoop &amp; Opbrengsten'!$O$5:$O$500,Basisinstellingen!$C$5)-SUMIFS('Inkoop &amp; Uitgaven'!$G$5:$G$500,'Inkoop &amp; Uitgaven'!$K$5:$K$500,Categorieën!J37,'Inkoop &amp; Uitgaven'!$O$5:$O$500,Basisinstellingen!$C$5)</f>
        <v>0</v>
      </c>
    </row>
    <row r="46" spans="2:10" x14ac:dyDescent="0.3">
      <c r="B46" s="37"/>
      <c r="C46" s="37"/>
      <c r="D46" s="37"/>
      <c r="J46" t="str">
        <f t="shared" ref="J46:J51" si="1">CONCATENATE(B46," ",C46)</f>
        <v xml:space="preserve"> </v>
      </c>
    </row>
    <row r="47" spans="2:10" x14ac:dyDescent="0.3">
      <c r="B47" s="37"/>
      <c r="C47" s="37"/>
      <c r="D47" s="37"/>
      <c r="J47" t="str">
        <f t="shared" si="1"/>
        <v xml:space="preserve"> </v>
      </c>
    </row>
    <row r="48" spans="2:10" x14ac:dyDescent="0.3">
      <c r="B48" s="11"/>
      <c r="J48" t="str">
        <f t="shared" si="1"/>
        <v xml:space="preserve"> </v>
      </c>
    </row>
    <row r="49" spans="2:10" x14ac:dyDescent="0.3">
      <c r="B49" s="11"/>
      <c r="J49" t="str">
        <f t="shared" si="1"/>
        <v xml:space="preserve"> </v>
      </c>
    </row>
    <row r="50" spans="2:10" x14ac:dyDescent="0.3">
      <c r="B50" s="11"/>
      <c r="J50" t="str">
        <f t="shared" si="1"/>
        <v xml:space="preserve"> </v>
      </c>
    </row>
    <row r="51" spans="2:10" x14ac:dyDescent="0.3">
      <c r="B51" s="11"/>
      <c r="J51" t="str">
        <f t="shared" si="1"/>
        <v xml:space="preserve"> </v>
      </c>
    </row>
    <row r="52" spans="2:10" x14ac:dyDescent="0.3">
      <c r="B52" s="66"/>
    </row>
    <row r="53" spans="2:10" x14ac:dyDescent="0.3">
      <c r="B53" s="11"/>
    </row>
    <row r="54" spans="2:10" x14ac:dyDescent="0.3">
      <c r="B54" s="11"/>
    </row>
    <row r="55" spans="2:10" x14ac:dyDescent="0.3">
      <c r="B55" s="11"/>
    </row>
    <row r="56" spans="2:10" x14ac:dyDescent="0.3">
      <c r="B56" s="11"/>
    </row>
    <row r="57" spans="2:10" x14ac:dyDescent="0.3">
      <c r="B57" s="11"/>
    </row>
    <row r="58" spans="2:10" x14ac:dyDescent="0.3">
      <c r="B58" s="11"/>
    </row>
    <row r="59" spans="2:10" x14ac:dyDescent="0.3">
      <c r="B59" s="11"/>
    </row>
    <row r="60" spans="2:10" x14ac:dyDescent="0.3">
      <c r="B60" s="11"/>
    </row>
    <row r="61" spans="2:10" x14ac:dyDescent="0.3">
      <c r="B61" s="11"/>
    </row>
    <row r="62" spans="2:10" x14ac:dyDescent="0.3">
      <c r="B62" s="11"/>
    </row>
    <row r="63" spans="2:10" x14ac:dyDescent="0.3">
      <c r="B63" s="11"/>
    </row>
    <row r="64" spans="2:10" x14ac:dyDescent="0.3">
      <c r="B64" s="11"/>
    </row>
    <row r="65" spans="2:2" x14ac:dyDescent="0.3">
      <c r="B65" s="11"/>
    </row>
    <row r="66" spans="2:2" x14ac:dyDescent="0.3">
      <c r="B66" s="11"/>
    </row>
    <row r="67" spans="2:2" x14ac:dyDescent="0.3">
      <c r="B67" s="11"/>
    </row>
    <row r="68" spans="2:2" x14ac:dyDescent="0.3">
      <c r="B68" s="11"/>
    </row>
    <row r="69" spans="2:2" x14ac:dyDescent="0.3">
      <c r="B69" s="11"/>
    </row>
    <row r="70" spans="2:2" x14ac:dyDescent="0.3">
      <c r="B70" s="11"/>
    </row>
    <row r="71" spans="2:2" x14ac:dyDescent="0.3">
      <c r="B71" s="11"/>
    </row>
    <row r="72" spans="2:2" x14ac:dyDescent="0.3">
      <c r="B72" s="11"/>
    </row>
    <row r="73" spans="2:2" x14ac:dyDescent="0.3">
      <c r="B73" s="11"/>
    </row>
  </sheetData>
  <sheetProtection selectLockedCells="1"/>
  <dataConsolidate/>
  <pageMargins left="0.7" right="0.7" top="0.75" bottom="0.75" header="0.3" footer="0.3"/>
  <pageSetup paperSize="9" orientation="portrait" horizontalDpi="4294967295" verticalDpi="4294967295" r:id="rId1"/>
  <headerFooter>
    <oddFooter>&amp;C_x000D_&amp;1#&amp;"Calibri"&amp;10&amp;K000000 Knab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6"/>
  <dimension ref="A1:I96"/>
  <sheetViews>
    <sheetView showGridLines="0" showRowColHeaders="0" showZeros="0" topLeftCell="A69" workbookViewId="0">
      <selection activeCell="C6" sqref="C6"/>
    </sheetView>
  </sheetViews>
  <sheetFormatPr defaultColWidth="9" defaultRowHeight="13" x14ac:dyDescent="0.3"/>
  <cols>
    <col min="1" max="1" width="3.8984375" customWidth="1"/>
    <col min="2" max="2" width="16.3984375" customWidth="1"/>
    <col min="3" max="3" width="31.09765625" style="3" customWidth="1"/>
    <col min="4" max="4" width="19.09765625" customWidth="1"/>
    <col min="5" max="5" width="19.8984375" customWidth="1"/>
    <col min="6" max="7" width="15.8984375" customWidth="1"/>
    <col min="8" max="8" width="21.09765625" customWidth="1"/>
    <col min="9" max="9" width="10" customWidth="1"/>
  </cols>
  <sheetData>
    <row r="1" spans="1:9" ht="23.5" x14ac:dyDescent="0.55000000000000004">
      <c r="A1" s="14"/>
      <c r="B1" s="20" t="s">
        <v>13</v>
      </c>
      <c r="C1" s="29"/>
      <c r="D1" s="20"/>
      <c r="E1" s="14"/>
      <c r="F1" s="14"/>
      <c r="G1" s="14"/>
      <c r="H1" s="35">
        <f>Basisinstellingen!C5</f>
        <v>2026</v>
      </c>
    </row>
    <row r="2" spans="1:9" x14ac:dyDescent="0.3">
      <c r="A2" s="14"/>
      <c r="B2" s="12"/>
      <c r="C2" s="29"/>
      <c r="D2" s="14"/>
      <c r="E2" s="14"/>
      <c r="F2" s="14"/>
      <c r="G2" s="14"/>
      <c r="H2" s="14"/>
    </row>
    <row r="3" spans="1:9" x14ac:dyDescent="0.3">
      <c r="A3" s="14"/>
      <c r="B3" s="14"/>
      <c r="C3" s="29"/>
      <c r="D3" s="14"/>
      <c r="E3" s="14"/>
      <c r="F3" s="14"/>
      <c r="G3" s="14"/>
      <c r="H3" s="14"/>
    </row>
    <row r="5" spans="1:9" x14ac:dyDescent="0.3">
      <c r="B5" s="5" t="s">
        <v>64</v>
      </c>
    </row>
    <row r="6" spans="1:9" x14ac:dyDescent="0.3">
      <c r="B6" t="s">
        <v>10</v>
      </c>
      <c r="C6" s="140">
        <f>SUMIF('Verkoop &amp; Opbrengsten'!O6:O500,Basisinstellingen!C5,'Verkoop &amp; Opbrengsten'!G6:G500)</f>
        <v>100</v>
      </c>
      <c r="D6" s="3"/>
      <c r="E6" s="3"/>
      <c r="F6" s="3"/>
      <c r="G6" s="3"/>
    </row>
    <row r="7" spans="1:9" x14ac:dyDescent="0.3">
      <c r="B7" t="s">
        <v>2</v>
      </c>
      <c r="C7" s="140">
        <f>SUMIF('Verkoop &amp; Opbrengsten'!O6:O500,Basisinstellingen!C5,'Verkoop &amp; Opbrengsten'!I6:I500)</f>
        <v>21</v>
      </c>
      <c r="G7" s="3"/>
    </row>
    <row r="8" spans="1:9" x14ac:dyDescent="0.3">
      <c r="B8" t="s">
        <v>11</v>
      </c>
      <c r="C8" s="140">
        <f>SUMIFS('Verkoop &amp; Opbrengsten'!$G$6:$G$500,'Verkoop &amp; Opbrengsten'!O6:O500,Basisinstellingen!C5,'Verkoop &amp; Opbrengsten'!$J$6:$J$500,"Betaald via Kas")+SUMIFS('Verkoop &amp; Opbrengsten'!$G$6:$G$500,'Verkoop &amp; Opbrengsten'!O6:O500,Basisinstellingen!C5,'Verkoop &amp; Opbrengsten'!$J$6:$J$500,"Betaald via Bank")</f>
        <v>0</v>
      </c>
      <c r="F8" s="3"/>
      <c r="G8" s="3"/>
    </row>
    <row r="9" spans="1:9" x14ac:dyDescent="0.3">
      <c r="B9" t="s">
        <v>12</v>
      </c>
      <c r="C9" s="140">
        <f>SUMIFS('Verkoop &amp; Opbrengsten'!$G$6:$G$500,'Verkoop &amp; Opbrengsten'!O6:O500,Basisinstellingen!C5,'Verkoop &amp; Opbrengsten'!$J$6:$J$500,"Openstaand")+SUMIFS('Verkoop &amp; Opbrengsten'!$I$6:$I$500,'Verkoop &amp; Opbrengsten'!O6:O500,Basisinstellingen!C5,'Verkoop &amp; Opbrengsten'!$J$6:$J$500,"Openstaand")</f>
        <v>121</v>
      </c>
    </row>
    <row r="10" spans="1:9" x14ac:dyDescent="0.3">
      <c r="C10" s="141"/>
    </row>
    <row r="11" spans="1:9" x14ac:dyDescent="0.3">
      <c r="B11" s="5" t="s">
        <v>65</v>
      </c>
      <c r="C11" s="141"/>
      <c r="D11" s="3"/>
      <c r="E11" s="3"/>
      <c r="H11" s="3"/>
    </row>
    <row r="12" spans="1:9" x14ac:dyDescent="0.3">
      <c r="B12" t="s">
        <v>10</v>
      </c>
      <c r="C12" s="140">
        <f>SUMIF('Inkoop &amp; Uitgaven'!O6:O500,Basisinstellingen!C5,'Inkoop &amp; Uitgaven'!G6:G500)</f>
        <v>0</v>
      </c>
      <c r="E12" s="3"/>
      <c r="H12" s="3"/>
      <c r="I12" s="3"/>
    </row>
    <row r="13" spans="1:9" x14ac:dyDescent="0.3">
      <c r="B13" t="s">
        <v>2</v>
      </c>
      <c r="C13" s="140">
        <f>SUMIF('Inkoop &amp; Uitgaven'!O6:O500,Basisinstellingen!C5,'Inkoop &amp; Uitgaven'!I6:I500)</f>
        <v>0</v>
      </c>
    </row>
    <row r="14" spans="1:9" x14ac:dyDescent="0.3">
      <c r="B14" t="s">
        <v>11</v>
      </c>
      <c r="C14" s="140">
        <f>SUMIFS('Inkoop &amp; Uitgaven'!$G$6:$G$500,'Inkoop &amp; Uitgaven'!O6:O500,Basisinstellingen!C5,'Inkoop &amp; Uitgaven'!$J$6:$J$500,"Betaald via Kas")+SUMIFS('Inkoop &amp; Uitgaven'!$G$6:$G$500,'Inkoop &amp; Uitgaven'!O6:O500,Basisinstellingen!C5,'Inkoop &amp; Uitgaven'!$J$6:$J$500,"Betaald via Bank")</f>
        <v>0</v>
      </c>
    </row>
    <row r="15" spans="1:9" x14ac:dyDescent="0.3">
      <c r="B15" t="s">
        <v>12</v>
      </c>
      <c r="C15" s="140">
        <f>SUMIFS('Inkoop &amp; Uitgaven'!$G$6:$G$500,'Inkoop &amp; Uitgaven'!O6:O500,Basisinstellingen!C5,'Inkoop &amp; Uitgaven'!$J$6:$J$500,"Openstaand")+SUMIFS('Inkoop &amp; Uitgaven'!$I$6:$I$500,'Inkoop &amp; Uitgaven'!O6:O500,Basisinstellingen!C5,'Inkoop &amp; Uitgaven'!$J$6:$J$500,"Openstaand")</f>
        <v>0</v>
      </c>
    </row>
    <row r="16" spans="1:9" ht="61.5" hidden="1" customHeight="1" x14ac:dyDescent="0.3">
      <c r="C16" s="141"/>
    </row>
    <row r="17" spans="2:9" ht="10.5" hidden="1" customHeight="1" x14ac:dyDescent="0.3">
      <c r="C17" s="141"/>
      <c r="F17" s="3"/>
      <c r="G17" s="3"/>
    </row>
    <row r="18" spans="2:9" ht="17.25" hidden="1" customHeight="1" x14ac:dyDescent="0.3">
      <c r="C18" s="141"/>
    </row>
    <row r="19" spans="2:9" ht="21" hidden="1" customHeight="1" x14ac:dyDescent="0.3">
      <c r="B19" t="s">
        <v>71</v>
      </c>
      <c r="C19" s="141"/>
    </row>
    <row r="20" spans="2:9" ht="20.25" hidden="1" customHeight="1" x14ac:dyDescent="0.3">
      <c r="B20" t="s">
        <v>95</v>
      </c>
      <c r="C20" s="141"/>
    </row>
    <row r="21" spans="2:9" ht="18" hidden="1" customHeight="1" x14ac:dyDescent="0.3">
      <c r="B21" t="s">
        <v>96</v>
      </c>
      <c r="C21" s="141"/>
    </row>
    <row r="22" spans="2:9" ht="17.25" hidden="1" customHeight="1" x14ac:dyDescent="0.3">
      <c r="B22" t="s">
        <v>16</v>
      </c>
      <c r="C22" s="141"/>
    </row>
    <row r="23" spans="2:9" ht="12.75" hidden="1" customHeight="1" x14ac:dyDescent="0.3">
      <c r="C23" s="141"/>
    </row>
    <row r="24" spans="2:9" ht="35.25" hidden="1" customHeight="1" x14ac:dyDescent="0.3">
      <c r="C24" s="141"/>
    </row>
    <row r="25" spans="2:9" ht="39" hidden="1" customHeight="1" x14ac:dyDescent="0.3">
      <c r="B25" t="s">
        <v>91</v>
      </c>
      <c r="C25" s="141"/>
    </row>
    <row r="26" spans="2:9" ht="29.25" hidden="1" customHeight="1" x14ac:dyDescent="0.3">
      <c r="B26" t="s">
        <v>92</v>
      </c>
      <c r="C26" s="141"/>
    </row>
    <row r="27" spans="2:9" ht="21" hidden="1" customHeight="1" x14ac:dyDescent="0.3">
      <c r="B27" t="s">
        <v>93</v>
      </c>
      <c r="C27" s="141"/>
    </row>
    <row r="28" spans="2:9" ht="22.5" hidden="1" customHeight="1" x14ac:dyDescent="0.3">
      <c r="B28" t="s">
        <v>94</v>
      </c>
      <c r="C28" s="141"/>
    </row>
    <row r="29" spans="2:9" ht="24.75" hidden="1" customHeight="1" x14ac:dyDescent="0.3">
      <c r="C29" s="141"/>
    </row>
    <row r="30" spans="2:9" ht="29.25" hidden="1" customHeight="1" x14ac:dyDescent="0.3">
      <c r="B30" t="s">
        <v>101</v>
      </c>
      <c r="C30" s="141"/>
    </row>
    <row r="31" spans="2:9" hidden="1" x14ac:dyDescent="0.3">
      <c r="B31" s="39">
        <v>0.21</v>
      </c>
      <c r="C31" s="141"/>
    </row>
    <row r="32" spans="2:9" hidden="1" x14ac:dyDescent="0.3">
      <c r="B32" s="39">
        <v>0.09</v>
      </c>
      <c r="C32" s="141"/>
      <c r="I32" t="s">
        <v>17</v>
      </c>
    </row>
    <row r="33" spans="1:8" hidden="1" x14ac:dyDescent="0.3">
      <c r="B33" s="106" t="s">
        <v>111</v>
      </c>
      <c r="C33" s="141"/>
    </row>
    <row r="34" spans="1:8" x14ac:dyDescent="0.3">
      <c r="C34" s="141"/>
      <c r="F34" s="10"/>
    </row>
    <row r="37" spans="1:8" ht="22.5" customHeight="1" x14ac:dyDescent="0.55000000000000004">
      <c r="A37" s="14"/>
      <c r="B37" s="20" t="s">
        <v>112</v>
      </c>
      <c r="C37" s="22"/>
      <c r="D37" s="14"/>
      <c r="E37" s="14"/>
      <c r="F37" s="14"/>
      <c r="G37" s="14"/>
      <c r="H37" s="12">
        <f>Basisinstellingen!C5</f>
        <v>2026</v>
      </c>
    </row>
    <row r="38" spans="1:8" x14ac:dyDescent="0.3">
      <c r="A38" s="14"/>
      <c r="B38" s="14"/>
      <c r="C38" s="22"/>
      <c r="D38" s="14"/>
      <c r="E38" s="14"/>
      <c r="F38" s="14"/>
      <c r="G38" s="14"/>
      <c r="H38" s="14"/>
    </row>
    <row r="39" spans="1:8" x14ac:dyDescent="0.3">
      <c r="A39" s="14"/>
      <c r="B39" s="14"/>
      <c r="C39" s="22"/>
      <c r="D39" s="14"/>
      <c r="E39" s="14"/>
      <c r="F39" s="14"/>
      <c r="G39" s="14"/>
      <c r="H39" s="14"/>
    </row>
    <row r="41" spans="1:8" ht="14.15" customHeight="1" x14ac:dyDescent="0.3">
      <c r="B41" s="112" t="s">
        <v>61</v>
      </c>
      <c r="C41" s="149" t="s">
        <v>62</v>
      </c>
      <c r="D41" s="85" t="s">
        <v>114</v>
      </c>
      <c r="E41" s="85" t="s">
        <v>113</v>
      </c>
    </row>
    <row r="42" spans="1:8" ht="14.15" customHeight="1" x14ac:dyDescent="0.3">
      <c r="B42" s="1" t="str">
        <f>Categorieën!B22</f>
        <v>4500</v>
      </c>
      <c r="C42" s="150" t="str">
        <f>Categorieën!C22</f>
        <v xml:space="preserve">Contributies en abonnementen </v>
      </c>
      <c r="D42" s="142">
        <f>IF(Categorieën!E22&gt;0,Categorieën!E22,0)</f>
        <v>0</v>
      </c>
      <c r="E42" s="142">
        <f>IF(Categorieën!E22&lt;0,(Categorieën!E22*-1),0)</f>
        <v>0</v>
      </c>
    </row>
    <row r="43" spans="1:8" ht="14.15" customHeight="1" x14ac:dyDescent="0.3">
      <c r="B43" s="1" t="str">
        <f>Categorieën!B23</f>
        <v>4510</v>
      </c>
      <c r="C43" s="150" t="str">
        <f>Categorieën!C23</f>
        <v xml:space="preserve">Reclame en advertenties </v>
      </c>
      <c r="D43" s="142">
        <f>IF(Categorieën!E23&gt;0,Categorieën!E23,0)</f>
        <v>0</v>
      </c>
      <c r="E43" s="142">
        <f>IF(Categorieën!E23&lt;0,(Categorieën!E23*-1),0)</f>
        <v>0</v>
      </c>
    </row>
    <row r="44" spans="1:8" ht="14.15" customHeight="1" x14ac:dyDescent="0.3">
      <c r="B44" s="1" t="str">
        <f>Categorieën!B24</f>
        <v>4520</v>
      </c>
      <c r="C44" s="150" t="str">
        <f>Categorieën!C24</f>
        <v xml:space="preserve">Representatie en verteer </v>
      </c>
      <c r="D44" s="142">
        <f>IF(Categorieën!E24&gt;0,Categorieën!E24,0)</f>
        <v>0</v>
      </c>
      <c r="E44" s="142">
        <f>IF(Categorieën!E24&lt;0,(Categorieën!E24*-1),0)</f>
        <v>0</v>
      </c>
    </row>
    <row r="45" spans="1:8" ht="14.15" customHeight="1" x14ac:dyDescent="0.3">
      <c r="B45" s="1" t="str">
        <f>Categorieën!B25</f>
        <v>4530</v>
      </c>
      <c r="C45" s="150" t="str">
        <f>Categorieën!C25</f>
        <v xml:space="preserve">Reis- en verblijfkosten </v>
      </c>
      <c r="D45" s="142">
        <f>IF(Categorieën!E25&gt;0,Categorieën!E25,0)</f>
        <v>0</v>
      </c>
      <c r="E45" s="142">
        <f>IF(Categorieën!E25&lt;0,(Categorieën!E25*-1),0)</f>
        <v>0</v>
      </c>
    </row>
    <row r="46" spans="1:8" ht="14.15" customHeight="1" x14ac:dyDescent="0.3">
      <c r="B46" s="1" t="str">
        <f>Categorieën!B26</f>
        <v>4540</v>
      </c>
      <c r="C46" s="150" t="str">
        <f>Categorieën!C26</f>
        <v xml:space="preserve">Relatiegeschenken </v>
      </c>
      <c r="D46" s="142">
        <f>IF(Categorieën!E26&gt;0,Categorieën!E26,0)</f>
        <v>0</v>
      </c>
      <c r="E46" s="142">
        <f>IF(Categorieën!E26&lt;0,(Categorieën!E26*-1),0)</f>
        <v>0</v>
      </c>
    </row>
    <row r="47" spans="1:8" ht="14.15" customHeight="1" x14ac:dyDescent="0.3">
      <c r="B47" s="1" t="str">
        <f>Categorieën!B27</f>
        <v>4545</v>
      </c>
      <c r="C47" s="150" t="str">
        <f>Categorieën!C27</f>
        <v xml:space="preserve">Verzekeringen </v>
      </c>
      <c r="D47" s="142">
        <f>IF(Categorieën!E27&gt;0,Categorieën!E27,0)</f>
        <v>0</v>
      </c>
      <c r="E47" s="142">
        <f>IF(Categorieën!E27&lt;0,(Categorieën!E27*-1),0)</f>
        <v>0</v>
      </c>
    </row>
    <row r="48" spans="1:8" ht="14.15" customHeight="1" x14ac:dyDescent="0.3">
      <c r="B48" s="1" t="str">
        <f>Categorieën!B28</f>
        <v>4550</v>
      </c>
      <c r="C48" s="150" t="str">
        <f>Categorieën!C28</f>
        <v xml:space="preserve">Bankkosten </v>
      </c>
      <c r="D48" s="142">
        <f>IF(Categorieën!E28&gt;0,Categorieën!E28,0)</f>
        <v>0</v>
      </c>
      <c r="E48" s="142">
        <f>IF(Categorieën!E28&lt;0,(Categorieën!E28*-1),0)</f>
        <v>0</v>
      </c>
    </row>
    <row r="49" spans="2:6" ht="14.15" customHeight="1" x14ac:dyDescent="0.3">
      <c r="B49" s="1" t="str">
        <f>Categorieën!B29</f>
        <v>4590</v>
      </c>
      <c r="C49" s="150" t="str">
        <f>Categorieën!C29</f>
        <v xml:space="preserve">Overige verkoopkosten </v>
      </c>
      <c r="D49" s="142">
        <f>IF(Categorieën!E29&gt;0,Categorieën!E29,0)</f>
        <v>0</v>
      </c>
      <c r="E49" s="142">
        <f>IF(Categorieën!E29&lt;0,(Categorieën!E29*-1),0)</f>
        <v>0</v>
      </c>
    </row>
    <row r="50" spans="2:6" ht="14.15" customHeight="1" x14ac:dyDescent="0.3">
      <c r="B50" s="1" t="str">
        <f>Categorieën!B30</f>
        <v>4600</v>
      </c>
      <c r="C50" s="150" t="str">
        <f>Categorieën!C30</f>
        <v xml:space="preserve">Kilometervergoeding </v>
      </c>
      <c r="D50" s="142">
        <f>IF(Categorieën!E30&gt;0,Categorieën!E30,0)</f>
        <v>0</v>
      </c>
      <c r="E50" s="142">
        <f>IF(Categorieën!E30&lt;0,(Categorieën!E30*-1),0)</f>
        <v>0</v>
      </c>
    </row>
    <row r="51" spans="2:6" ht="14.15" customHeight="1" x14ac:dyDescent="0.3">
      <c r="B51" s="1" t="str">
        <f>Categorieën!B31</f>
        <v>4700</v>
      </c>
      <c r="C51" s="150" t="str">
        <f>Categorieën!C31</f>
        <v xml:space="preserve">Kantoorbenodigdheden </v>
      </c>
      <c r="D51" s="142">
        <f>IF(Categorieën!E31&gt;0,Categorieën!E31,0)</f>
        <v>0</v>
      </c>
      <c r="E51" s="142">
        <f>IF(Categorieën!E31&lt;0,(Categorieën!E31*-1),0)</f>
        <v>0</v>
      </c>
    </row>
    <row r="52" spans="2:6" ht="14.15" customHeight="1" x14ac:dyDescent="0.3">
      <c r="B52" s="1" t="str">
        <f>Categorieën!B32</f>
        <v>4740</v>
      </c>
      <c r="C52" s="150" t="str">
        <f>Categorieën!C32</f>
        <v xml:space="preserve">Drukwerk, porti en vrachten </v>
      </c>
      <c r="D52" s="142">
        <f>IF(Categorieën!E32&gt;0,Categorieën!E32,0)</f>
        <v>0</v>
      </c>
      <c r="E52" s="142">
        <f>IF(Categorieën!E32&lt;0,(Categorieën!E32*-1),0)</f>
        <v>0</v>
      </c>
    </row>
    <row r="53" spans="2:6" ht="14.15" customHeight="1" x14ac:dyDescent="0.3">
      <c r="B53" s="1" t="str">
        <f>Categorieën!B33</f>
        <v>4750</v>
      </c>
      <c r="C53" s="150" t="str">
        <f>Categorieën!C33</f>
        <v>Telefoon en internet</v>
      </c>
      <c r="D53" s="142">
        <f>IF(Categorieën!E33&gt;0,Categorieën!E33,0)</f>
        <v>0</v>
      </c>
      <c r="E53" s="142">
        <f>IF(Categorieën!E33&lt;0,(Categorieën!E33*-1),0)</f>
        <v>0</v>
      </c>
    </row>
    <row r="54" spans="2:6" ht="14.15" customHeight="1" x14ac:dyDescent="0.3">
      <c r="B54" s="1" t="str">
        <f>Categorieën!B34</f>
        <v>4790</v>
      </c>
      <c r="C54" s="150" t="str">
        <f>Categorieën!C34</f>
        <v xml:space="preserve">Overige kantoorkosten </v>
      </c>
      <c r="D54" s="142">
        <f>IF(Categorieën!E34&gt;0,Categorieën!E34,0)</f>
        <v>0</v>
      </c>
      <c r="E54" s="142">
        <f>IF(Categorieën!E34&lt;0,(Categorieën!E34*-1),0)</f>
        <v>0</v>
      </c>
    </row>
    <row r="55" spans="2:6" ht="14.15" customHeight="1" x14ac:dyDescent="0.3">
      <c r="B55" s="1" t="str">
        <f>Categorieën!B35</f>
        <v>4810</v>
      </c>
      <c r="C55" s="150" t="str">
        <f>Categorieën!C35</f>
        <v xml:space="preserve">Accountants- en administratiekosten </v>
      </c>
      <c r="D55" s="142">
        <f>IF(Categorieën!E35&gt;0,Categorieën!E35,0)</f>
        <v>0</v>
      </c>
      <c r="E55" s="142">
        <f>IF(Categorieën!E35&lt;0,(Categorieën!E35*-1),0)</f>
        <v>0</v>
      </c>
    </row>
    <row r="56" spans="2:6" ht="14.15" customHeight="1" x14ac:dyDescent="0.3">
      <c r="B56" s="1" t="str">
        <f>Categorieën!B36</f>
        <v>4850</v>
      </c>
      <c r="C56" s="150" t="str">
        <f>Categorieën!C36</f>
        <v xml:space="preserve">Cursussen/seminars </v>
      </c>
      <c r="D56" s="142">
        <f>IF(Categorieën!E36&gt;0,Categorieën!E36,0)</f>
        <v>0</v>
      </c>
      <c r="E56" s="142">
        <f>IF(Categorieën!E36&lt;0,(Categorieën!E36*-1),0)</f>
        <v>0</v>
      </c>
    </row>
    <row r="57" spans="2:6" ht="14.15" customHeight="1" x14ac:dyDescent="0.3">
      <c r="B57" s="1" t="str">
        <f>Categorieën!B37</f>
        <v>4860</v>
      </c>
      <c r="C57" s="150" t="str">
        <f>Categorieën!C37</f>
        <v xml:space="preserve">Vakliteratuur </v>
      </c>
      <c r="D57" s="142">
        <f>IF(Categorieën!E37&gt;0,Categorieën!E37,0)</f>
        <v>0</v>
      </c>
      <c r="E57" s="142">
        <f>IF(Categorieën!E37&lt;0,(Categorieën!E37*-1),0)</f>
        <v>0</v>
      </c>
    </row>
    <row r="58" spans="2:6" ht="14.15" customHeight="1" x14ac:dyDescent="0.3">
      <c r="B58" s="1" t="str">
        <f>Categorieën!B38</f>
        <v>4900</v>
      </c>
      <c r="C58" s="150" t="str">
        <f>Categorieën!C38</f>
        <v xml:space="preserve">Betalingsverschillen </v>
      </c>
      <c r="D58" s="142">
        <f>IF(Categorieën!E38&gt;0,Categorieën!E38,0)</f>
        <v>0</v>
      </c>
      <c r="E58" s="142">
        <f>IF(Categorieën!E38&lt;0,(Categorieën!E38*-1),0)</f>
        <v>0</v>
      </c>
      <c r="F58" s="141"/>
    </row>
    <row r="59" spans="2:6" ht="14.15" customHeight="1" x14ac:dyDescent="0.3">
      <c r="B59" s="1" t="str">
        <f>Categorieën!B39</f>
        <v>4950</v>
      </c>
      <c r="C59" s="150" t="str">
        <f>Categorieën!C39</f>
        <v xml:space="preserve">Oninbare vorderingen </v>
      </c>
      <c r="D59" s="142">
        <f>IF(Categorieën!E39&gt;0,Categorieën!E39,0)</f>
        <v>0</v>
      </c>
      <c r="E59" s="142">
        <f>IF(Categorieën!E39&lt;0,(Categorieën!E39*-1),0)</f>
        <v>0</v>
      </c>
      <c r="F59" s="141"/>
    </row>
    <row r="60" spans="2:6" ht="14.15" customHeight="1" x14ac:dyDescent="0.3">
      <c r="B60" s="1" t="str">
        <f>Categorieën!B40</f>
        <v>7000</v>
      </c>
      <c r="C60" s="150" t="str">
        <f>Categorieën!C40</f>
        <v xml:space="preserve">Inkopen </v>
      </c>
      <c r="D60" s="142">
        <f>IF(Categorieën!E40&gt;0,Categorieën!E40,0)</f>
        <v>0</v>
      </c>
      <c r="E60" s="142">
        <f>IF(Categorieën!E40&lt;0,(Categorieën!E40*-1),0)</f>
        <v>0</v>
      </c>
      <c r="F60" s="141"/>
    </row>
    <row r="61" spans="2:6" ht="14.15" customHeight="1" x14ac:dyDescent="0.3">
      <c r="B61" s="1" t="str">
        <f>Categorieën!B41</f>
        <v>8000</v>
      </c>
      <c r="C61" s="150" t="str">
        <f>Categorieën!C41</f>
        <v xml:space="preserve">Omzet NL </v>
      </c>
      <c r="D61" s="142">
        <f>IF(Categorieën!E41&lt;0,(Categorieën!E41*-1),0)</f>
        <v>0</v>
      </c>
      <c r="E61" s="142">
        <f>IF(Categorieën!E41&gt;0,(Categorieën!E41),0)</f>
        <v>100</v>
      </c>
      <c r="F61" s="141"/>
    </row>
    <row r="62" spans="2:6" ht="14.15" customHeight="1" x14ac:dyDescent="0.3">
      <c r="B62" s="11" t="str">
        <f>Categorieën!B42</f>
        <v>8010</v>
      </c>
      <c r="C62" s="150" t="str">
        <f>Categorieën!C42</f>
        <v xml:space="preserve">Omzet EU </v>
      </c>
      <c r="D62" s="142">
        <f>IF(Categorieën!E42&lt;0,(Categorieën!E42*-1),0)</f>
        <v>0</v>
      </c>
      <c r="E62" s="142">
        <f>IF(Categorieën!E42&gt;0,(Categorieën!E42),0)</f>
        <v>0</v>
      </c>
      <c r="F62" s="141"/>
    </row>
    <row r="63" spans="2:6" ht="14.15" customHeight="1" x14ac:dyDescent="0.3">
      <c r="B63" s="3"/>
      <c r="D63" s="142"/>
      <c r="E63" s="142"/>
      <c r="F63" s="141"/>
    </row>
    <row r="64" spans="2:6" ht="14.15" customHeight="1" x14ac:dyDescent="0.3">
      <c r="D64" s="142"/>
      <c r="E64" s="142"/>
      <c r="F64" s="141"/>
    </row>
    <row r="65" spans="1:8" ht="14.15" customHeight="1" x14ac:dyDescent="0.3">
      <c r="C65" s="154" t="s">
        <v>115</v>
      </c>
      <c r="D65" s="157">
        <f>SUM(E42:E62)-SUM(D42:D62)</f>
        <v>100</v>
      </c>
      <c r="E65" s="158"/>
      <c r="F65" s="141"/>
    </row>
    <row r="66" spans="1:8" ht="14.15" customHeight="1" x14ac:dyDescent="0.3">
      <c r="B66" s="12"/>
      <c r="C66" s="25"/>
      <c r="D66" s="151">
        <f>SUM(D42:D62)+D65</f>
        <v>100</v>
      </c>
      <c r="E66" s="151">
        <f>SUM(E42:E62)</f>
        <v>100</v>
      </c>
      <c r="F66" s="141"/>
    </row>
    <row r="67" spans="1:8" x14ac:dyDescent="0.3">
      <c r="D67" s="141"/>
      <c r="E67" s="141"/>
      <c r="F67" s="141"/>
    </row>
    <row r="68" spans="1:8" x14ac:dyDescent="0.3">
      <c r="D68" s="141"/>
      <c r="E68" s="141"/>
      <c r="F68" s="141"/>
    </row>
    <row r="69" spans="1:8" x14ac:dyDescent="0.3">
      <c r="D69" s="141"/>
      <c r="E69" s="141"/>
      <c r="F69" s="141"/>
    </row>
    <row r="70" spans="1:8" ht="23.5" x14ac:dyDescent="0.55000000000000004">
      <c r="A70" s="14"/>
      <c r="B70" s="20" t="s">
        <v>85</v>
      </c>
      <c r="C70" s="22"/>
      <c r="D70" s="14"/>
      <c r="E70" s="14"/>
      <c r="F70" s="14"/>
      <c r="G70" s="14"/>
      <c r="H70" s="12">
        <f>Basisinstellingen!C5</f>
        <v>2026</v>
      </c>
    </row>
    <row r="71" spans="1:8" x14ac:dyDescent="0.3">
      <c r="A71" s="14"/>
      <c r="B71" s="14"/>
      <c r="C71" s="22"/>
      <c r="D71" s="14"/>
      <c r="E71" s="14"/>
      <c r="F71" s="14"/>
      <c r="G71" s="14"/>
      <c r="H71" s="14"/>
    </row>
    <row r="72" spans="1:8" x14ac:dyDescent="0.3">
      <c r="A72" s="14"/>
      <c r="B72" s="14"/>
      <c r="C72" s="22"/>
      <c r="D72" s="14"/>
      <c r="E72" s="14"/>
      <c r="F72" s="14"/>
      <c r="G72" s="14"/>
      <c r="H72" s="14"/>
    </row>
    <row r="73" spans="1:8" x14ac:dyDescent="0.3">
      <c r="D73" s="141"/>
      <c r="E73" s="141"/>
      <c r="F73" s="141"/>
    </row>
    <row r="74" spans="1:8" ht="14.15" customHeight="1" x14ac:dyDescent="0.3">
      <c r="B74" s="5" t="s">
        <v>61</v>
      </c>
      <c r="C74" s="160" t="s">
        <v>62</v>
      </c>
      <c r="D74" s="85" t="s">
        <v>182</v>
      </c>
      <c r="E74" s="85" t="s">
        <v>183</v>
      </c>
      <c r="G74" s="5"/>
      <c r="H74" s="5"/>
    </row>
    <row r="75" spans="1:8" ht="14.15" customHeight="1" x14ac:dyDescent="0.3">
      <c r="B75" s="159" t="str">
        <f>Categorieën!B6</f>
        <v>0130</v>
      </c>
      <c r="C75" s="161" t="str">
        <f>Categorieën!C6</f>
        <v xml:space="preserve">Inventarissen </v>
      </c>
      <c r="D75" s="142">
        <f>IF((Categorieën!E6+Beginbalans!K7)&gt;0,(Categorieën!E6+Beginbalans!K7),0)</f>
        <v>0</v>
      </c>
      <c r="E75" s="142">
        <f>IF((Categorieën!E6+Beginbalans!K7)&lt;0,(Categorieën!E6+Beginbalans!K7)*-1,0)</f>
        <v>0</v>
      </c>
    </row>
    <row r="76" spans="1:8" ht="14.15" customHeight="1" x14ac:dyDescent="0.3">
      <c r="B76" s="159" t="str">
        <f>Categorieën!B7</f>
        <v>0140</v>
      </c>
      <c r="C76" s="161" t="str">
        <f>Categorieën!C7</f>
        <v xml:space="preserve">Hardware </v>
      </c>
      <c r="D76" s="142">
        <f>IF((Categorieën!E7+Beginbalans!K8)&gt;0,(Categorieën!E7+Beginbalans!K8),0)</f>
        <v>0</v>
      </c>
      <c r="E76" s="142">
        <f>IF((Categorieën!E7+Beginbalans!K8)&lt;0,(Categorieën!E7+Beginbalans!K8)*-1,0)</f>
        <v>0</v>
      </c>
    </row>
    <row r="77" spans="1:8" ht="14.15" customHeight="1" x14ac:dyDescent="0.3">
      <c r="B77" s="159" t="str">
        <f>Categorieën!B8</f>
        <v>0740</v>
      </c>
      <c r="C77" s="161" t="str">
        <f>Categorieën!C8</f>
        <v xml:space="preserve">Langlopende leningen </v>
      </c>
      <c r="D77" s="142">
        <f>IF((Categorieën!E8+Beginbalans!K9)&gt;0,(Categorieën!E8+Beginbalans!K9),0)</f>
        <v>0</v>
      </c>
      <c r="E77" s="142">
        <f>IF((Categorieën!E8+Beginbalans!K9)&lt;0,(Categorieën!E8+Beginbalans!K9)*-1,0)</f>
        <v>0</v>
      </c>
    </row>
    <row r="78" spans="1:8" ht="14.15" customHeight="1" x14ac:dyDescent="0.3">
      <c r="B78" s="159" t="str">
        <f>Categorieën!B9</f>
        <v>1000</v>
      </c>
      <c r="C78" s="161" t="str">
        <f>Categorieën!C9</f>
        <v xml:space="preserve">Kas </v>
      </c>
      <c r="D78" s="142">
        <f>IF((Categorieën!E9+Beginbalans!K10)&gt;0,(Categorieën!E9+Beginbalans!K10),0)</f>
        <v>0</v>
      </c>
      <c r="E78" s="142">
        <f>IF((Categorieën!E9+Beginbalans!K10)&lt;0,(Categorieën!E9+Beginbalans!K10)*-1,0)</f>
        <v>0</v>
      </c>
      <c r="H78" s="141"/>
    </row>
    <row r="79" spans="1:8" ht="14.15" customHeight="1" x14ac:dyDescent="0.3">
      <c r="B79" s="159" t="str">
        <f>Categorieën!B10</f>
        <v>1010</v>
      </c>
      <c r="C79" s="161" t="str">
        <f>Categorieën!C10</f>
        <v xml:space="preserve">Bank </v>
      </c>
      <c r="D79" s="142">
        <f>IF((Categorieën!E10+Beginbalans!K11)&gt;0,(Categorieën!E10+Beginbalans!K11),0)</f>
        <v>0</v>
      </c>
      <c r="E79" s="142">
        <f>IF((Categorieën!E10+Beginbalans!K11)&lt;0,(Categorieën!E10+Beginbalans!K11)*-1,0)</f>
        <v>0</v>
      </c>
    </row>
    <row r="80" spans="1:8" ht="14.15" customHeight="1" x14ac:dyDescent="0.3">
      <c r="B80" s="159" t="str">
        <f>Categorieën!B11</f>
        <v>1300</v>
      </c>
      <c r="C80" s="161" t="str">
        <f>Categorieën!C11</f>
        <v xml:space="preserve">Debiteuren </v>
      </c>
      <c r="D80" s="142">
        <f>IF((Categorieën!E11+Beginbalans!K12)&gt;0,(Categorieën!E11+Beginbalans!K12),0)</f>
        <v>121</v>
      </c>
      <c r="E80" s="142">
        <f>IF((Categorieën!E11+Beginbalans!K12)&lt;0,(Categorieën!E11+Beginbalans!K12)*-1,0)</f>
        <v>0</v>
      </c>
      <c r="H80" s="141"/>
    </row>
    <row r="81" spans="2:8" ht="14.15" customHeight="1" x14ac:dyDescent="0.3">
      <c r="B81" s="159" t="str">
        <f>Categorieën!B12</f>
        <v>1400</v>
      </c>
      <c r="C81" s="161" t="str">
        <f>Categorieën!C12</f>
        <v xml:space="preserve">Beginkapitaal </v>
      </c>
      <c r="D81" s="142">
        <f>IF((Categorieën!E12+Beginbalans!K13)&gt;0,(Categorieën!E12+Beginbalans!K13),0)</f>
        <v>0</v>
      </c>
      <c r="E81" s="142">
        <f>IF((Categorieën!E12+Beginbalans!K13)&lt;0,(Categorieën!E12+Beginbalans!K13)*-1,0)</f>
        <v>0</v>
      </c>
    </row>
    <row r="82" spans="2:8" ht="14.15" customHeight="1" x14ac:dyDescent="0.3">
      <c r="B82" s="159" t="str">
        <f>Categorieën!B13</f>
        <v>1410</v>
      </c>
      <c r="C82" s="161" t="str">
        <f>Categorieën!C13</f>
        <v xml:space="preserve">Privé-opnamen en stortingen </v>
      </c>
      <c r="D82" s="142">
        <f>IF((Categorieën!E13+Beginbalans!K14)&gt;0,(Categorieën!E13+Beginbalans!K14),0)</f>
        <v>0</v>
      </c>
      <c r="E82" s="142">
        <f>IF((Categorieën!E13+Beginbalans!K14)&lt;0,(Categorieën!E13+Beginbalans!K14)*-1,0)</f>
        <v>0</v>
      </c>
    </row>
    <row r="83" spans="2:8" ht="14.15" customHeight="1" x14ac:dyDescent="0.3">
      <c r="B83" s="159" t="str">
        <f>Categorieën!B14</f>
        <v>1500</v>
      </c>
      <c r="C83" s="161" t="str">
        <f>Categorieën!C14</f>
        <v xml:space="preserve">Vorderingen (kortlopend) </v>
      </c>
      <c r="D83" s="142">
        <f>IF((Categorieën!E14+Beginbalans!K15)&gt;0,(Categorieën!E14+Beginbalans!K15),0)</f>
        <v>0</v>
      </c>
      <c r="E83" s="142">
        <f>IF((Categorieën!E14+Beginbalans!K15)&lt;0,(Categorieën!E14+Beginbalans!K15)*-1,0)</f>
        <v>0</v>
      </c>
    </row>
    <row r="84" spans="2:8" ht="14.15" customHeight="1" x14ac:dyDescent="0.3">
      <c r="B84" s="159" t="str">
        <f>Categorieën!B15</f>
        <v>1600</v>
      </c>
      <c r="C84" s="161" t="str">
        <f>Categorieën!C15</f>
        <v xml:space="preserve">Voorbelasting </v>
      </c>
      <c r="D84" s="142">
        <f>IF((Categorieën!E15+Beginbalans!K16)&gt;0,(Categorieën!E15+Beginbalans!K16),0)</f>
        <v>0</v>
      </c>
      <c r="E84" s="142">
        <f>IF((Categorieën!E15+Beginbalans!K16)&lt;0,(Categorieën!E15+Beginbalans!K16)*-1,0)</f>
        <v>0</v>
      </c>
    </row>
    <row r="85" spans="2:8" ht="14.15" customHeight="1" x14ac:dyDescent="0.3">
      <c r="B85" s="159" t="str">
        <f>Categorieën!B16</f>
        <v>1630</v>
      </c>
      <c r="C85" s="161" t="str">
        <f>Categorieën!C16</f>
        <v xml:space="preserve">BTW Af te dragen Hoog </v>
      </c>
      <c r="D85" s="142">
        <f>IF((Categorieën!E16+Beginbalans!K17)&gt;0,(Categorieën!E16+Beginbalans!K17),0)</f>
        <v>0</v>
      </c>
      <c r="E85" s="142">
        <f>IF((Categorieën!E16+Beginbalans!K17)&lt;0,(Categorieën!E16+Beginbalans!K17)*-1,0)</f>
        <v>21</v>
      </c>
    </row>
    <row r="86" spans="2:8" ht="14.15" customHeight="1" x14ac:dyDescent="0.3">
      <c r="B86" s="159" t="str">
        <f>Categorieën!B17</f>
        <v>1631</v>
      </c>
      <c r="C86" s="161" t="str">
        <f>Categorieën!C17</f>
        <v xml:space="preserve">BTW af te dragen Laag </v>
      </c>
      <c r="D86" s="142">
        <f>IF((Categorieën!E17+Beginbalans!K18)&gt;0,(Categorieën!E17+Beginbalans!K18),0)</f>
        <v>0</v>
      </c>
      <c r="E86" s="142">
        <f>IF((Categorieën!E17+Beginbalans!K18)&lt;0,(Categorieën!E17+Beginbalans!K18)*-1,0)</f>
        <v>0</v>
      </c>
    </row>
    <row r="87" spans="2:8" ht="14.15" customHeight="1" x14ac:dyDescent="0.3">
      <c r="B87" s="159" t="str">
        <f>Categorieën!B18</f>
        <v>1650</v>
      </c>
      <c r="C87" s="161" t="str">
        <f>Categorieën!C18</f>
        <v>Btw betaald/ontvangen</v>
      </c>
      <c r="D87" s="142">
        <f>IF((Categorieën!E18+Beginbalans!K19)&gt;0,(Categorieën!E18+Beginbalans!K19),0)</f>
        <v>0</v>
      </c>
      <c r="E87" s="142">
        <f>IF((Categorieën!E18+Beginbalans!K19)&lt;0,(Categorieën!E18+Beginbalans!K19)*-1,0)</f>
        <v>0</v>
      </c>
    </row>
    <row r="88" spans="2:8" ht="14.15" customHeight="1" x14ac:dyDescent="0.3">
      <c r="B88" s="159" t="str">
        <f>Categorieën!B19</f>
        <v>1700</v>
      </c>
      <c r="C88" s="161" t="str">
        <f>Categorieën!C19</f>
        <v xml:space="preserve">Crediteuren </v>
      </c>
      <c r="D88" s="142">
        <f>IF((Categorieën!E19+Beginbalans!K20)&gt;0,(Categorieën!E19+Beginbalans!K20),0)</f>
        <v>0</v>
      </c>
      <c r="E88" s="142">
        <f>IF((Categorieën!E19+Beginbalans!K20)&lt;0,(Categorieën!E19+Beginbalans!K20)*-1,0)</f>
        <v>0</v>
      </c>
      <c r="H88" s="141"/>
    </row>
    <row r="89" spans="2:8" ht="14.15" customHeight="1" x14ac:dyDescent="0.3">
      <c r="B89" s="159" t="str">
        <f>Categorieën!B20</f>
        <v>1800</v>
      </c>
      <c r="C89" s="161" t="str">
        <f>Categorieën!C20</f>
        <v xml:space="preserve">Schulden (kortlopend) </v>
      </c>
      <c r="D89" s="142">
        <f>IF((Categorieën!E20+Beginbalans!K21)&gt;0,(Categorieën!E20+Beginbalans!K21),0)</f>
        <v>0</v>
      </c>
      <c r="E89" s="142">
        <f>IF((Categorieën!E20+Beginbalans!K21)&lt;0,(Categorieën!E20+Beginbalans!K21)*-1,0)</f>
        <v>0</v>
      </c>
    </row>
    <row r="90" spans="2:8" ht="14.15" customHeight="1" x14ac:dyDescent="0.3">
      <c r="B90" s="159" t="str">
        <f>Categorieën!B21</f>
        <v>2000</v>
      </c>
      <c r="C90" s="161" t="str">
        <f>Categorieën!C21</f>
        <v xml:space="preserve">Kruisposten </v>
      </c>
      <c r="D90" s="142">
        <f>IF((Categorieën!E21+Beginbalans!K22)&gt;0,(Categorieën!E21+Beginbalans!K22),0)</f>
        <v>0</v>
      </c>
      <c r="E90" s="142">
        <f>IF((Categorieën!E21+Beginbalans!K22)&lt;0,(Categorieën!E21+Beginbalans!K22)*-1,0)</f>
        <v>0</v>
      </c>
      <c r="G90" s="141"/>
    </row>
    <row r="91" spans="2:8" ht="14.15" customHeight="1" x14ac:dyDescent="0.3">
      <c r="D91" s="152"/>
      <c r="G91" s="141"/>
    </row>
    <row r="92" spans="2:8" ht="14.15" customHeight="1" x14ac:dyDescent="0.3">
      <c r="G92" s="141"/>
    </row>
    <row r="93" spans="2:8" ht="14.15" customHeight="1" x14ac:dyDescent="0.3">
      <c r="C93" s="154" t="s">
        <v>63</v>
      </c>
      <c r="D93" s="155"/>
      <c r="E93" s="156">
        <f>D94-(SUM(E75:E90))</f>
        <v>100</v>
      </c>
    </row>
    <row r="94" spans="2:8" ht="14.15" customHeight="1" x14ac:dyDescent="0.3">
      <c r="B94" s="12"/>
      <c r="C94" s="25"/>
      <c r="D94" s="153">
        <f>SUM(D75:D90)</f>
        <v>121</v>
      </c>
      <c r="E94" s="153">
        <f>SUM(E75:E90)+E93</f>
        <v>121</v>
      </c>
      <c r="G94" s="141"/>
    </row>
    <row r="96" spans="2:8" x14ac:dyDescent="0.3">
      <c r="F96" s="141"/>
      <c r="G96" s="141"/>
    </row>
  </sheetData>
  <sheetProtection sheet="1" selectLockedCells="1"/>
  <phoneticPr fontId="32" type="noConversion"/>
  <pageMargins left="0.7" right="0.7" top="0.75" bottom="0.75" header="0.3" footer="0.3"/>
  <pageSetup paperSize="9" orientation="portrait" horizontalDpi="4294967295" verticalDpi="4294967295" r:id="rId1"/>
  <headerFooter>
    <oddFooter>&amp;C_x000D_&amp;1#&amp;"Calibri"&amp;10&amp;K000000 Knab Internal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4"/>
  <dimension ref="A1:H63"/>
  <sheetViews>
    <sheetView showGridLines="0" showRowColHeaders="0" showZeros="0" workbookViewId="0">
      <selection activeCell="D11" sqref="D11"/>
    </sheetView>
  </sheetViews>
  <sheetFormatPr defaultColWidth="9" defaultRowHeight="13" x14ac:dyDescent="0.3"/>
  <cols>
    <col min="1" max="1" width="3.8984375" customWidth="1"/>
    <col min="2" max="2" width="15.8984375" customWidth="1"/>
    <col min="3" max="3" width="25.8984375" customWidth="1"/>
    <col min="4" max="7" width="15.8984375" customWidth="1"/>
    <col min="8" max="8" width="35.09765625" customWidth="1"/>
  </cols>
  <sheetData>
    <row r="1" spans="1:8" ht="23.5" x14ac:dyDescent="0.55000000000000004">
      <c r="A1" s="14"/>
      <c r="B1" s="20" t="s">
        <v>84</v>
      </c>
      <c r="C1" s="20"/>
      <c r="D1" s="14"/>
      <c r="E1" s="14"/>
      <c r="F1" s="14"/>
      <c r="G1" s="14"/>
      <c r="H1" s="35">
        <f>Basisinstellingen!C5</f>
        <v>2026</v>
      </c>
    </row>
    <row r="2" spans="1:8" x14ac:dyDescent="0.3">
      <c r="A2" s="14"/>
      <c r="B2" s="14"/>
      <c r="C2" s="14"/>
      <c r="D2" s="14"/>
      <c r="E2" s="14"/>
      <c r="F2" s="14"/>
      <c r="G2" s="14"/>
      <c r="H2" s="14"/>
    </row>
    <row r="3" spans="1:8" x14ac:dyDescent="0.3">
      <c r="A3" s="14"/>
      <c r="B3" s="14"/>
      <c r="C3" s="14"/>
      <c r="D3" s="14"/>
      <c r="E3" s="14"/>
      <c r="F3" s="14"/>
      <c r="G3" s="14"/>
      <c r="H3" s="14"/>
    </row>
    <row r="5" spans="1:8" x14ac:dyDescent="0.3">
      <c r="B5" s="81" t="s">
        <v>66</v>
      </c>
      <c r="C5" s="81"/>
      <c r="D5" s="81" t="s">
        <v>4</v>
      </c>
      <c r="E5" s="81" t="s">
        <v>72</v>
      </c>
      <c r="F5" s="81" t="s">
        <v>8</v>
      </c>
      <c r="G5" s="81" t="s">
        <v>72</v>
      </c>
    </row>
    <row r="6" spans="1:8" x14ac:dyDescent="0.3">
      <c r="B6" s="78" t="s">
        <v>123</v>
      </c>
      <c r="C6" s="78" t="s">
        <v>118</v>
      </c>
      <c r="D6" s="139">
        <f>SUMIFS('Verkoop &amp; Opbrengsten'!$G$6:$G$500,'Verkoop &amp; Opbrengsten'!$N$6:$N$500,1,'Verkoop &amp; Opbrengsten'!$H$6:$H$500,0.21,'Verkoop &amp; Opbrengsten'!$O$6:$O$500,Basisinstellingen!C5)</f>
        <v>100</v>
      </c>
      <c r="E6" s="139">
        <f>SUMIFS('Verkoop &amp; Opbrengsten'!$I$6:$I$500,'Verkoop &amp; Opbrengsten'!$N$6:$N$500,1,'Verkoop &amp; Opbrengsten'!$H$6:$H$500,0.21,'Verkoop &amp; Opbrengsten'!$O$6:$O$500,Basisinstellingen!C5)</f>
        <v>21</v>
      </c>
      <c r="F6" s="139">
        <f>SUMIFS('Inkoop &amp; Uitgaven'!$G$6:$G$500,'Inkoop &amp; Uitgaven'!$N$6:$N$500,1,'Inkoop &amp; Uitgaven'!$H$6:$H$500,0.21,'Inkoop &amp; Uitgaven'!$O$6:$O$500,Basisinstellingen!C5)</f>
        <v>0</v>
      </c>
      <c r="G6" s="139">
        <f>SUMIFS('Inkoop &amp; Uitgaven'!$I$6:$I$500,'Inkoop &amp; Uitgaven'!$N$6:$N$500,1,'Inkoop &amp; Uitgaven'!$H$6:$H$500,0.21,'Inkoop &amp; Uitgaven'!$O$6:$O$500,Basisinstellingen!C5)</f>
        <v>0</v>
      </c>
    </row>
    <row r="7" spans="1:8" x14ac:dyDescent="0.3">
      <c r="B7" s="78"/>
      <c r="C7" s="78" t="s">
        <v>188</v>
      </c>
      <c r="D7" s="139">
        <f>SUMIFS('Verkoop &amp; Opbrengsten'!$G$6:$G$500,'Verkoop &amp; Opbrengsten'!$N$6:$N$500,1,'Verkoop &amp; Opbrengsten'!$H$6:$H$500,0.09,'Verkoop &amp; Opbrengsten'!$O$6:$O$500,Basisinstellingen!C5)</f>
        <v>0</v>
      </c>
      <c r="E7" s="139">
        <f>SUMIFS('Verkoop &amp; Opbrengsten'!$I$6:$I$500,'Verkoop &amp; Opbrengsten'!$N$6:$N$500,1,'Verkoop &amp; Opbrengsten'!$H$6:$H$500,0.09,'Verkoop &amp; Opbrengsten'!$O$6:$O$500,Basisinstellingen!C5)</f>
        <v>0</v>
      </c>
      <c r="F7" s="139">
        <f>SUMIFS('Inkoop &amp; Uitgaven'!$G$6:$G$500,'Inkoop &amp; Uitgaven'!$N$6:$N$500,1,'Inkoop &amp; Uitgaven'!$H$6:$H$500,0.09,'Inkoop &amp; Uitgaven'!$O$6:$O$500,Basisinstellingen!C5)</f>
        <v>0</v>
      </c>
      <c r="G7" s="139">
        <f>SUMIFS('Inkoop &amp; Uitgaven'!$I$6:$I$500,'Inkoop &amp; Uitgaven'!$N$6:$N$500,1,'Inkoop &amp; Uitgaven'!$H$6:$H$500,0.09,'Inkoop &amp; Uitgaven'!$O$6:$O$500,Basisinstellingen!C5)</f>
        <v>0</v>
      </c>
    </row>
    <row r="8" spans="1:8" x14ac:dyDescent="0.3">
      <c r="B8" s="78"/>
      <c r="C8" s="78" t="s">
        <v>117</v>
      </c>
      <c r="D8" s="139">
        <f>SUMIFS('Verkoop &amp; Opbrengsten'!$G$6:$G$500,'Verkoop &amp; Opbrengsten'!$N$6:$N$500,1,'Verkoop &amp; Opbrengsten'!$H$6:$H$500,"Geen btw",'Verkoop &amp; Opbrengsten'!$C$6:$C$500,"Bonnetje",'Verkoop &amp; Opbrengsten'!$O$6:$O$500,Basisinstellingen!C5)+SUMIFS('Verkoop &amp; Opbrengsten'!$G$6:$G$500,'Verkoop &amp; Opbrengsten'!$N$6:$N$500,1,'Verkoop &amp; Opbrengsten'!$H$6:$H$500,"Geen btw",'Verkoop &amp; Opbrengsten'!$C$6:$C$500,"Factuur",'Verkoop &amp; Opbrengsten'!$O$6:$O$500,Basisinstellingen!C5)</f>
        <v>0</v>
      </c>
      <c r="E8" s="139">
        <f>SUMIFS('Verkoop &amp; Opbrengsten'!$I$6:$I$500,'Verkoop &amp; Opbrengsten'!$N$6:$N$500,1,'Verkoop &amp; Opbrengsten'!$H$6:$H$500,"Geen btw",'Verkoop &amp; Opbrengsten'!$O$6:$O$500,Basisinstellingen!C5)</f>
        <v>0</v>
      </c>
      <c r="F8" s="139">
        <f>SUMIFS('Inkoop &amp; Uitgaven'!$G$6:$G$500,'Inkoop &amp; Uitgaven'!$N$6:$N$500,1,'Inkoop &amp; Uitgaven'!$H$6:$H$500,"Geen btw",'Inkoop &amp; Uitgaven'!$C$6:$C$500,"Bonnetje",'Inkoop &amp; Uitgaven'!$O$6:$O$500,Basisinstellingen!C5)+SUMIFS('Inkoop &amp; Uitgaven'!$G$6:$G$500,'Inkoop &amp; Uitgaven'!$N$6:$N$500,1,'Inkoop &amp; Uitgaven'!$H$6:$H$500,"Geen btw",'Inkoop &amp; Uitgaven'!$C$6:$C$500,"Factuur",'Inkoop &amp; Uitgaven'!$O$6:$O$500,Basisinstellingen!C5)</f>
        <v>0</v>
      </c>
      <c r="G8" s="139">
        <f>SUMIFS('Inkoop &amp; Uitgaven'!$I$6:$I$500,'Inkoop &amp; Uitgaven'!$N$6:$N$500,1,'Inkoop &amp; Uitgaven'!$H$6:$H$500,"Geen btw",'Inkoop &amp; Uitgaven'!$O$6:$O$500,Basisinstellingen!C5)</f>
        <v>0</v>
      </c>
    </row>
    <row r="9" spans="1:8" x14ac:dyDescent="0.3">
      <c r="D9" s="144"/>
      <c r="E9" s="144"/>
      <c r="F9" s="144"/>
      <c r="G9" s="144"/>
    </row>
    <row r="10" spans="1:8" x14ac:dyDescent="0.3">
      <c r="B10" s="81" t="s">
        <v>66</v>
      </c>
      <c r="C10" s="81"/>
      <c r="D10" s="145" t="s">
        <v>4</v>
      </c>
      <c r="E10" s="145" t="s">
        <v>72</v>
      </c>
      <c r="F10" s="145" t="s">
        <v>8</v>
      </c>
      <c r="G10" s="145" t="s">
        <v>72</v>
      </c>
    </row>
    <row r="11" spans="1:8" x14ac:dyDescent="0.3">
      <c r="B11" s="78" t="s">
        <v>122</v>
      </c>
      <c r="C11" s="78" t="s">
        <v>118</v>
      </c>
      <c r="D11" s="139">
        <f>SUMIFS('Verkoop &amp; Opbrengsten'!$G$6:$G$500,'Verkoop &amp; Opbrengsten'!$N$6:$N$500,2,'Verkoop &amp; Opbrengsten'!$H$6:$H$500,0.21,'Verkoop &amp; Opbrengsten'!$O$6:$O$500,Basisinstellingen!C5)</f>
        <v>0</v>
      </c>
      <c r="E11" s="139">
        <f>SUMIFS('Verkoop &amp; Opbrengsten'!$I$6:$I$500,'Verkoop &amp; Opbrengsten'!$N$6:$N$500,2,'Verkoop &amp; Opbrengsten'!$H$6:$H$500,0.21,'Verkoop &amp; Opbrengsten'!$O$6:$O$500,Basisinstellingen!C5)</f>
        <v>0</v>
      </c>
      <c r="F11" s="139">
        <f>SUMIFS('Inkoop &amp; Uitgaven'!$G$6:$G$500,'Inkoop &amp; Uitgaven'!$N$6:$N$500,2,'Inkoop &amp; Uitgaven'!$H$6:$H$500,0.21,'Inkoop &amp; Uitgaven'!$O$6:$O$500,Basisinstellingen!C5)</f>
        <v>0</v>
      </c>
      <c r="G11" s="139">
        <f>SUMIFS('Inkoop &amp; Uitgaven'!$I$6:$I$500,'Inkoop &amp; Uitgaven'!$N$6:$N$500,2,'Inkoop &amp; Uitgaven'!$H$6:$H$500,0.21,'Inkoop &amp; Uitgaven'!$O$6:$O$500,Basisinstellingen!C5)</f>
        <v>0</v>
      </c>
    </row>
    <row r="12" spans="1:8" x14ac:dyDescent="0.3">
      <c r="B12" s="78"/>
      <c r="C12" s="78" t="s">
        <v>188</v>
      </c>
      <c r="D12" s="139">
        <f>SUMIFS('Verkoop &amp; Opbrengsten'!$G$6:$G$500,'Verkoop &amp; Opbrengsten'!$N$6:$N$500,2,'Verkoop &amp; Opbrengsten'!$H$6:$H$500,0.09,'Verkoop &amp; Opbrengsten'!$O$6:$O$500,Basisinstellingen!C5)</f>
        <v>0</v>
      </c>
      <c r="E12" s="139">
        <f>SUMIFS('Verkoop &amp; Opbrengsten'!$I$6:$I$500,'Verkoop &amp; Opbrengsten'!$N$6:$N$500,2,'Verkoop &amp; Opbrengsten'!$H$6:$H$500,0.09,'Verkoop &amp; Opbrengsten'!$O$6:$O$500,Basisinstellingen!C5)</f>
        <v>0</v>
      </c>
      <c r="F12" s="139">
        <f>SUMIFS('Inkoop &amp; Uitgaven'!$G$6:$G$500,'Inkoop &amp; Uitgaven'!$N$6:$N$500,2,'Inkoop &amp; Uitgaven'!$H$6:$H$500,0.09,'Inkoop &amp; Uitgaven'!$O$6:$O$500,Basisinstellingen!C5)</f>
        <v>0</v>
      </c>
      <c r="G12" s="139">
        <f>SUMIFS('Inkoop &amp; Uitgaven'!$I$6:$I$500,'Inkoop &amp; Uitgaven'!$N$6:$N$500,2,'Inkoop &amp; Uitgaven'!$H$6:$H$500,0.09,'Inkoop &amp; Uitgaven'!$O$6:$O$500,Basisinstellingen!C5)</f>
        <v>0</v>
      </c>
    </row>
    <row r="13" spans="1:8" x14ac:dyDescent="0.3">
      <c r="B13" s="78"/>
      <c r="C13" s="78" t="s">
        <v>117</v>
      </c>
      <c r="D13" s="139">
        <f>SUMIFS('Verkoop &amp; Opbrengsten'!$G$6:$G$500,'Verkoop &amp; Opbrengsten'!$N$6:$N$500,2,'Verkoop &amp; Opbrengsten'!$H$6:$H$500,"Geen btw",'Verkoop &amp; Opbrengsten'!$C$6:$C$500,"Bonnetje",'Verkoop &amp; Opbrengsten'!$O$6:$O$500,Basisinstellingen!C5)+SUMIFS('Verkoop &amp; Opbrengsten'!$G$6:$G$500,'Verkoop &amp; Opbrengsten'!$N$6:$N$500,2,'Verkoop &amp; Opbrengsten'!$H$6:$H$500,"Geen btw",'Verkoop &amp; Opbrengsten'!$C$6:$C$500,"Factuur",'Verkoop &amp; Opbrengsten'!$O$6:$O$500,Basisinstellingen!C5)</f>
        <v>0</v>
      </c>
      <c r="E13" s="139">
        <f>SUMIFS('Verkoop &amp; Opbrengsten'!$I$6:$I$500,'Verkoop &amp; Opbrengsten'!$N$6:$N$500,2,'Verkoop &amp; Opbrengsten'!$H$6:$H$500,"Geen btw",'Verkoop &amp; Opbrengsten'!$O$6:$O$500,Basisinstellingen!C5)</f>
        <v>0</v>
      </c>
      <c r="F13" s="139">
        <f>SUMIFS('Inkoop &amp; Uitgaven'!$G$6:$G$500,'Inkoop &amp; Uitgaven'!$N$6:$N$500,2,'Inkoop &amp; Uitgaven'!$H$6:$H$500,"Geen btw",'Inkoop &amp; Uitgaven'!$C$6:$C$500,"Bonnetje",'Inkoop &amp; Uitgaven'!$O$6:$O$500,Basisinstellingen!C5)+SUMIFS('Inkoop &amp; Uitgaven'!$G$6:$G$500,'Inkoop &amp; Uitgaven'!$N$6:$N$500,2,'Inkoop &amp; Uitgaven'!$H$6:$H$500,"Geen btw",'Inkoop &amp; Uitgaven'!$C$6:$C$500,"Factuur",'Inkoop &amp; Uitgaven'!$O$6:$O$500,Basisinstellingen!C5)</f>
        <v>0</v>
      </c>
      <c r="G13" s="139">
        <f>SUMIFS('Inkoop &amp; Uitgaven'!$I$6:$I$500,'Inkoop &amp; Uitgaven'!$N$6:$N$500,2,'Inkoop &amp; Uitgaven'!$H$6:$H$500,"Geen btw",'Inkoop &amp; Uitgaven'!$O$6:$O$500,Basisinstellingen!C5)</f>
        <v>0</v>
      </c>
    </row>
    <row r="14" spans="1:8" x14ac:dyDescent="0.3">
      <c r="D14" s="144"/>
      <c r="E14" s="144"/>
      <c r="F14" s="144"/>
      <c r="G14" s="144"/>
    </row>
    <row r="15" spans="1:8" x14ac:dyDescent="0.3">
      <c r="B15" s="81" t="s">
        <v>66</v>
      </c>
      <c r="C15" s="81"/>
      <c r="D15" s="145" t="s">
        <v>4</v>
      </c>
      <c r="E15" s="145" t="s">
        <v>72</v>
      </c>
      <c r="F15" s="145" t="s">
        <v>8</v>
      </c>
      <c r="G15" s="145" t="s">
        <v>72</v>
      </c>
    </row>
    <row r="16" spans="1:8" x14ac:dyDescent="0.3">
      <c r="B16" s="78" t="s">
        <v>121</v>
      </c>
      <c r="C16" s="78" t="s">
        <v>118</v>
      </c>
      <c r="D16" s="139">
        <f>SUMIFS('Verkoop &amp; Opbrengsten'!$G$6:$G$500,'Verkoop &amp; Opbrengsten'!$N$6:$N$500,3,'Verkoop &amp; Opbrengsten'!$H$6:$H$500,0.21,'Verkoop &amp; Opbrengsten'!$O$6:$O$500,Basisinstellingen!C5)</f>
        <v>0</v>
      </c>
      <c r="E16" s="139">
        <f>SUMIFS('Verkoop &amp; Opbrengsten'!$I$6:$I$500,'Verkoop &amp; Opbrengsten'!$N$6:$N$500,3,'Verkoop &amp; Opbrengsten'!$H$6:$H$500,0.21,'Verkoop &amp; Opbrengsten'!$O$6:$O$500,Basisinstellingen!C5)</f>
        <v>0</v>
      </c>
      <c r="F16" s="139">
        <f>SUMIFS('Inkoop &amp; Uitgaven'!$G$6:$G$500,'Inkoop &amp; Uitgaven'!$N$6:$N$500,3,'Inkoop &amp; Uitgaven'!$H$6:$H$500,0.21,'Inkoop &amp; Uitgaven'!$O$6:$O$500,Basisinstellingen!C5)</f>
        <v>0</v>
      </c>
      <c r="G16" s="139">
        <f>SUMIFS('Inkoop &amp; Uitgaven'!$I$6:$I$500,'Inkoop &amp; Uitgaven'!$N$6:$N$500,3,'Inkoop &amp; Uitgaven'!$H$6:$H$500,0.21,'Inkoop &amp; Uitgaven'!$O$6:$O$500,Basisinstellingen!C5)</f>
        <v>0</v>
      </c>
    </row>
    <row r="17" spans="2:7" x14ac:dyDescent="0.3">
      <c r="B17" s="78"/>
      <c r="C17" s="78" t="s">
        <v>188</v>
      </c>
      <c r="D17" s="139">
        <f>SUMIFS('Verkoop &amp; Opbrengsten'!$G$6:$G$500,'Verkoop &amp; Opbrengsten'!$N$6:$N$500,3,'Verkoop &amp; Opbrengsten'!$H$6:$H$500,0.09,'Verkoop &amp; Opbrengsten'!$O$6:$O$500,Basisinstellingen!C5)</f>
        <v>0</v>
      </c>
      <c r="E17" s="139">
        <f>SUMIFS('Verkoop &amp; Opbrengsten'!$I$6:$I$500,'Verkoop &amp; Opbrengsten'!$N$6:$N$500,3,'Verkoop &amp; Opbrengsten'!$H$6:$H$500,0.09,'Verkoop &amp; Opbrengsten'!$O$6:$O$500,Basisinstellingen!C5)</f>
        <v>0</v>
      </c>
      <c r="F17" s="139">
        <f>SUMIFS('Inkoop &amp; Uitgaven'!$G$6:$G$500,'Inkoop &amp; Uitgaven'!$N$6:$N$500,3,'Inkoop &amp; Uitgaven'!$H$6:$H$500,0.09,'Inkoop &amp; Uitgaven'!$O$6:$O$500,Basisinstellingen!C5)</f>
        <v>0</v>
      </c>
      <c r="G17" s="139">
        <f>SUMIFS('Inkoop &amp; Uitgaven'!$I$6:$I$500,'Inkoop &amp; Uitgaven'!$N$6:$N$500,3,'Inkoop &amp; Uitgaven'!$H$6:$H$500,0.09,'Inkoop &amp; Uitgaven'!$O$6:$O$500,Basisinstellingen!C5)</f>
        <v>0</v>
      </c>
    </row>
    <row r="18" spans="2:7" x14ac:dyDescent="0.3">
      <c r="B18" s="78"/>
      <c r="C18" s="78" t="s">
        <v>117</v>
      </c>
      <c r="D18" s="139">
        <f>SUMIFS('Verkoop &amp; Opbrengsten'!$G$6:$G$500,'Verkoop &amp; Opbrengsten'!$N$6:$N$500,3,'Verkoop &amp; Opbrengsten'!$H$6:$H$500,"Geen btw",'Verkoop &amp; Opbrengsten'!$C$6:$C$500,"Bonnetje",'Verkoop &amp; Opbrengsten'!$O$6:$O$500,Basisinstellingen!C5)+SUMIFS('Verkoop &amp; Opbrengsten'!$G$6:$G$500,'Verkoop &amp; Opbrengsten'!$N$6:$N$500,3,'Verkoop &amp; Opbrengsten'!$H$6:$H$500,"Geen btw",'Verkoop &amp; Opbrengsten'!$C$6:$C$500,"Factuur",'Verkoop &amp; Opbrengsten'!$O$6:$O$500,Basisinstellingen!C5)</f>
        <v>0</v>
      </c>
      <c r="E18" s="139">
        <f>SUMIFS('Verkoop &amp; Opbrengsten'!$I$6:$I$500,'Verkoop &amp; Opbrengsten'!$N$6:$N$500,3,'Verkoop &amp; Opbrengsten'!$H$6:$H$500,"Geen btw",'Verkoop &amp; Opbrengsten'!$O$6:$O$500,Basisinstellingen!C5)</f>
        <v>0</v>
      </c>
      <c r="F18" s="139">
        <f>SUMIFS('Inkoop &amp; Uitgaven'!$G$6:$G$500,'Inkoop &amp; Uitgaven'!$N$6:$N$500,3,'Inkoop &amp; Uitgaven'!$H$6:$H$500,"Geen btw",'Inkoop &amp; Uitgaven'!$C$6:$C$500,"Bonnetje",'Inkoop &amp; Uitgaven'!$O$6:$O$500,Basisinstellingen!C5)+SUMIFS('Inkoop &amp; Uitgaven'!$G$6:$G$500,'Inkoop &amp; Uitgaven'!$N$6:$N$500,3,'Inkoop &amp; Uitgaven'!$H$6:$H$500,"Geen btw",'Inkoop &amp; Uitgaven'!$C$6:$C$500,"Factuur",'Inkoop &amp; Uitgaven'!$O$6:$O$500,Basisinstellingen!C5)</f>
        <v>0</v>
      </c>
      <c r="G18" s="139">
        <f>SUMIFS('Inkoop &amp; Uitgaven'!$I$6:$I$500,'Inkoop &amp; Uitgaven'!$N$6:$N$500,3,'Inkoop &amp; Uitgaven'!$H$6:$H$500,"Geen btw",'Inkoop &amp; Uitgaven'!$O$6:$O$500,Basisinstellingen!C5)</f>
        <v>0</v>
      </c>
    </row>
    <row r="19" spans="2:7" x14ac:dyDescent="0.3">
      <c r="D19" s="144"/>
      <c r="E19" s="144"/>
      <c r="F19" s="144"/>
      <c r="G19" s="144"/>
    </row>
    <row r="20" spans="2:7" x14ac:dyDescent="0.3">
      <c r="B20" s="81" t="s">
        <v>66</v>
      </c>
      <c r="C20" s="81"/>
      <c r="D20" s="145" t="s">
        <v>4</v>
      </c>
      <c r="E20" s="145" t="s">
        <v>72</v>
      </c>
      <c r="F20" s="145" t="s">
        <v>8</v>
      </c>
      <c r="G20" s="145" t="s">
        <v>72</v>
      </c>
    </row>
    <row r="21" spans="2:7" x14ac:dyDescent="0.3">
      <c r="B21" s="78" t="s">
        <v>119</v>
      </c>
      <c r="C21" s="78" t="s">
        <v>118</v>
      </c>
      <c r="D21" s="139">
        <f>SUMIFS('Verkoop &amp; Opbrengsten'!$G$6:$G$500,'Verkoop &amp; Opbrengsten'!$N$6:$N$500,4,'Verkoop &amp; Opbrengsten'!$H$6:$H$500,0.21,'Verkoop &amp; Opbrengsten'!$O$6:$O$500,Basisinstellingen!C5)</f>
        <v>0</v>
      </c>
      <c r="E21" s="139">
        <f>SUMIFS('Verkoop &amp; Opbrengsten'!$I$6:$I$500,'Verkoop &amp; Opbrengsten'!$N$6:$N$500,4,'Verkoop &amp; Opbrengsten'!$H$6:$H$500,0.21,'Verkoop &amp; Opbrengsten'!$O$6:$O$500,Basisinstellingen!C5)</f>
        <v>0</v>
      </c>
      <c r="F21" s="139">
        <f>SUMIFS('Inkoop &amp; Uitgaven'!$G$6:$G$500,'Inkoop &amp; Uitgaven'!$N$6:$N$500,4,'Inkoop &amp; Uitgaven'!$H$6:$H$500,0.21,'Inkoop &amp; Uitgaven'!$O$6:$O$500,Basisinstellingen!C5)</f>
        <v>0</v>
      </c>
      <c r="G21" s="139">
        <f>SUMIFS('Inkoop &amp; Uitgaven'!$I$6:$I$500,'Inkoop &amp; Uitgaven'!$N$6:$N$500,4,'Inkoop &amp; Uitgaven'!$H$6:$H$500,0.21,'Inkoop &amp; Uitgaven'!$O$6:$O$500,Basisinstellingen!C5)</f>
        <v>0</v>
      </c>
    </row>
    <row r="22" spans="2:7" x14ac:dyDescent="0.3">
      <c r="B22" s="78"/>
      <c r="C22" s="78" t="s">
        <v>188</v>
      </c>
      <c r="D22" s="139">
        <f>SUMIFS('Verkoop &amp; Opbrengsten'!$G$6:$G$500,'Verkoop &amp; Opbrengsten'!$N$6:$N$500,4,'Verkoop &amp; Opbrengsten'!$H$6:$H$500,0.09,'Verkoop &amp; Opbrengsten'!$O$6:$O$500,Basisinstellingen!C5)</f>
        <v>0</v>
      </c>
      <c r="E22" s="139">
        <f>SUMIFS('Verkoop &amp; Opbrengsten'!$I$6:$I$500,'Verkoop &amp; Opbrengsten'!$N$6:$N$500,4,'Verkoop &amp; Opbrengsten'!$H$6:$H$500,0.09,'Verkoop &amp; Opbrengsten'!$O$6:$O$500,Basisinstellingen!C5)</f>
        <v>0</v>
      </c>
      <c r="F22" s="139">
        <f>SUMIFS('Inkoop &amp; Uitgaven'!$G$6:$G$500,'Inkoop &amp; Uitgaven'!$N$6:$N$500,4,'Inkoop &amp; Uitgaven'!$H$6:$H$500,0.09,'Inkoop &amp; Uitgaven'!$O$6:$O$500,Basisinstellingen!C5)</f>
        <v>0</v>
      </c>
      <c r="G22" s="139">
        <f>SUMIFS('Inkoop &amp; Uitgaven'!$I$6:$I$500,'Inkoop &amp; Uitgaven'!$N$6:$N$500,4,'Inkoop &amp; Uitgaven'!$H$6:$H$500,0.09,'Inkoop &amp; Uitgaven'!$O$6:$O$500,Basisinstellingen!C5)</f>
        <v>0</v>
      </c>
    </row>
    <row r="23" spans="2:7" x14ac:dyDescent="0.3">
      <c r="B23" s="78"/>
      <c r="C23" s="78" t="s">
        <v>117</v>
      </c>
      <c r="D23" s="139">
        <f>SUMIFS('Verkoop &amp; Opbrengsten'!$G$6:$G$500,'Verkoop &amp; Opbrengsten'!$N$6:$N$500,4,'Verkoop &amp; Opbrengsten'!$H$6:$H$500,"Geen btw",'Verkoop &amp; Opbrengsten'!$C$6:$C$500,"Bonnetje",'Verkoop &amp; Opbrengsten'!$O$6:$O$500,Basisinstellingen!C5)+SUMIFS('Verkoop &amp; Opbrengsten'!$G$6:$G$500,'Verkoop &amp; Opbrengsten'!$N$6:$N$500,4,'Verkoop &amp; Opbrengsten'!$H$6:$H$500,"Geen btw",'Verkoop &amp; Opbrengsten'!$C$6:$C$500,"Factuur",'Verkoop &amp; Opbrengsten'!$O$6:$O$500,Basisinstellingen!C5)</f>
        <v>0</v>
      </c>
      <c r="E23" s="139">
        <f>SUMIFS('Verkoop &amp; Opbrengsten'!$I$6:$I$500,'Verkoop &amp; Opbrengsten'!$N$6:$N$500,4,'Verkoop &amp; Opbrengsten'!$H$6:$H$500,"Geen btw",'Verkoop &amp; Opbrengsten'!$O$6:$O$500,Basisinstellingen!C5)</f>
        <v>0</v>
      </c>
      <c r="F23" s="139">
        <f>SUMIFS('Inkoop &amp; Uitgaven'!$G$6:$G$500,'Inkoop &amp; Uitgaven'!$N$6:$N$500,4,'Inkoop &amp; Uitgaven'!$H$6:$H$500,"Geen btw",'Inkoop &amp; Uitgaven'!$C$6:$C$500,"Bonnetje",'Inkoop &amp; Uitgaven'!$O$6:$O$500,Basisinstellingen!C5)+SUMIFS('Inkoop &amp; Uitgaven'!$G$6:$G$500,'Inkoop &amp; Uitgaven'!$N$6:$N$500,4,'Inkoop &amp; Uitgaven'!$H$6:$H$500,"Geen btw",'Inkoop &amp; Uitgaven'!$C$6:$C$500,"Factuur",'Inkoop &amp; Uitgaven'!$O$6:$O$500,Basisinstellingen!C5)</f>
        <v>0</v>
      </c>
      <c r="G23" s="139">
        <f>SUMIFS('Inkoop &amp; Uitgaven'!$I$6:$I$500,'Inkoop &amp; Uitgaven'!$N$6:$N$500,4,'Inkoop &amp; Uitgaven'!$H$6:$H$500,"Geen btw",'Inkoop &amp; Uitgaven'!$O$6:$O$500,Basisinstellingen!C5)</f>
        <v>0</v>
      </c>
    </row>
    <row r="24" spans="2:7" x14ac:dyDescent="0.3">
      <c r="D24" s="144"/>
      <c r="E24" s="144"/>
      <c r="F24" s="144"/>
      <c r="G24" s="144"/>
    </row>
    <row r="25" spans="2:7" x14ac:dyDescent="0.3">
      <c r="B25" s="81" t="s">
        <v>66</v>
      </c>
      <c r="C25" s="81"/>
      <c r="D25" s="145" t="s">
        <v>4</v>
      </c>
      <c r="E25" s="145" t="s">
        <v>72</v>
      </c>
      <c r="F25" s="145" t="s">
        <v>8</v>
      </c>
      <c r="G25" s="145" t="s">
        <v>72</v>
      </c>
    </row>
    <row r="26" spans="2:7" x14ac:dyDescent="0.3">
      <c r="B26" s="78" t="s">
        <v>120</v>
      </c>
      <c r="C26" s="78" t="s">
        <v>118</v>
      </c>
      <c r="D26" s="139">
        <f>SUMIFS('Verkoop &amp; Opbrengsten'!$G$6:$G$500,'Verkoop &amp; Opbrengsten'!$N$6:$N$500,5,'Verkoop &amp; Opbrengsten'!$H$6:$H$500,0.21,'Verkoop &amp; Opbrengsten'!$O$6:$O$500,Basisinstellingen!C5)</f>
        <v>0</v>
      </c>
      <c r="E26" s="139">
        <f>SUMIFS('Verkoop &amp; Opbrengsten'!$I$6:$I$500,'Verkoop &amp; Opbrengsten'!$N$6:$N$500,5,'Verkoop &amp; Opbrengsten'!$H$6:$H$500,0.21,'Verkoop &amp; Opbrengsten'!$O$6:$O$500,Basisinstellingen!C5)</f>
        <v>0</v>
      </c>
      <c r="F26" s="139">
        <f>SUMIFS('Inkoop &amp; Uitgaven'!$G$6:$G$500,'Inkoop &amp; Uitgaven'!$N$6:$N$500,5,'Inkoop &amp; Uitgaven'!$H$6:$H$500,0.21,'Inkoop &amp; Uitgaven'!$O$6:$O$500,Basisinstellingen!C5)</f>
        <v>0</v>
      </c>
      <c r="G26" s="139">
        <f>SUMIFS('Inkoop &amp; Uitgaven'!$I$6:$I$500,'Inkoop &amp; Uitgaven'!$N$6:$N$500,5,'Inkoop &amp; Uitgaven'!$H$6:$H$500,0.21,'Inkoop &amp; Uitgaven'!$O$6:$O$500,Basisinstellingen!C5)</f>
        <v>0</v>
      </c>
    </row>
    <row r="27" spans="2:7" x14ac:dyDescent="0.3">
      <c r="B27" s="78"/>
      <c r="C27" s="78" t="s">
        <v>188</v>
      </c>
      <c r="D27" s="139">
        <f>SUMIFS('Verkoop &amp; Opbrengsten'!$G$6:$G$500,'Verkoop &amp; Opbrengsten'!$N$6:$N$500,5,'Verkoop &amp; Opbrengsten'!$H$6:$H$500,0.09,'Verkoop &amp; Opbrengsten'!$O$6:$O$500,Basisinstellingen!C5)</f>
        <v>0</v>
      </c>
      <c r="E27" s="139">
        <f>SUMIFS('Verkoop &amp; Opbrengsten'!$I$6:$I$500,'Verkoop &amp; Opbrengsten'!$N$6:$N$500,5,'Verkoop &amp; Opbrengsten'!$H$6:$H$500,0.09,'Verkoop &amp; Opbrengsten'!$O$6:$O$500,Basisinstellingen!C5)</f>
        <v>0</v>
      </c>
      <c r="F27" s="139">
        <f>SUMIFS('Inkoop &amp; Uitgaven'!$G$6:$G$500,'Inkoop &amp; Uitgaven'!$N$6:$N$500,5,'Inkoop &amp; Uitgaven'!$H$6:$H$500,0.09,'Inkoop &amp; Uitgaven'!$O$6:$O$500,Basisinstellingen!C5)</f>
        <v>0</v>
      </c>
      <c r="G27" s="139">
        <f>SUMIFS('Inkoop &amp; Uitgaven'!$I$6:$I$500,'Inkoop &amp; Uitgaven'!$N$6:$N$500,5,'Inkoop &amp; Uitgaven'!$H$6:$H$500,0.09,'Inkoop &amp; Uitgaven'!$O$6:$O$500,Basisinstellingen!C5)</f>
        <v>0</v>
      </c>
    </row>
    <row r="28" spans="2:7" x14ac:dyDescent="0.3">
      <c r="B28" s="78"/>
      <c r="C28" s="78" t="s">
        <v>117</v>
      </c>
      <c r="D28" s="139">
        <f>SUMIFS('Verkoop &amp; Opbrengsten'!$G$6:$G$500,'Verkoop &amp; Opbrengsten'!$N$6:$N$500,5,'Verkoop &amp; Opbrengsten'!$H$6:$H$500,"Geen btw",'Verkoop &amp; Opbrengsten'!$C$6:$C$500,"Bonnetje",'Verkoop &amp; Opbrengsten'!$O$6:$O$500,Basisinstellingen!C5)+SUMIFS('Verkoop &amp; Opbrengsten'!$G$6:$G$500,'Verkoop &amp; Opbrengsten'!$N$6:$N$500,5,'Verkoop &amp; Opbrengsten'!$H$6:$H$500,"Geen btw",'Verkoop &amp; Opbrengsten'!$C$6:$C$500,"Factuur",'Verkoop &amp; Opbrengsten'!$O$6:$O$500,Basisinstellingen!C5)</f>
        <v>0</v>
      </c>
      <c r="E28" s="139">
        <f>SUMIFS('Verkoop &amp; Opbrengsten'!$I$6:$I$500,'Verkoop &amp; Opbrengsten'!$N$6:$N$500,5,'Verkoop &amp; Opbrengsten'!$H$6:$H$500,"Geen btw",'Verkoop &amp; Opbrengsten'!$O$6:$O$500,Basisinstellingen!C5)</f>
        <v>0</v>
      </c>
      <c r="F28" s="139">
        <f>SUMIFS('Inkoop &amp; Uitgaven'!$G$6:$G$500,'Inkoop &amp; Uitgaven'!$N$6:$N$500,5,'Inkoop &amp; Uitgaven'!$H$6:$H$500,"Geen btw",'Inkoop &amp; Uitgaven'!$C$6:$C$500,"Bonnetje",'Inkoop &amp; Uitgaven'!$O$6:$O$500,Basisinstellingen!C5)+SUMIFS('Inkoop &amp; Uitgaven'!$G$6:$G$500,'Inkoop &amp; Uitgaven'!$N$6:$N$500,5,'Inkoop &amp; Uitgaven'!$H$6:$H$500,"Geen btw",'Inkoop &amp; Uitgaven'!$C$6:$C$500,"Factuur",'Inkoop &amp; Uitgaven'!$O$6:$O$500,Basisinstellingen!C5)</f>
        <v>0</v>
      </c>
      <c r="G28" s="139">
        <f>SUMIFS('Inkoop &amp; Uitgaven'!$I$6:$I$500,'Inkoop &amp; Uitgaven'!$N$6:$N$500,5,'Inkoop &amp; Uitgaven'!$H$6:$H$500,"Geen btw",'Inkoop &amp; Uitgaven'!$O$6:$O$500,Basisinstellingen!C5)</f>
        <v>0</v>
      </c>
    </row>
    <row r="29" spans="2:7" x14ac:dyDescent="0.3">
      <c r="D29" s="144"/>
      <c r="E29" s="144"/>
      <c r="F29" s="144"/>
      <c r="G29" s="144"/>
    </row>
    <row r="30" spans="2:7" x14ac:dyDescent="0.3">
      <c r="B30" s="81" t="s">
        <v>66</v>
      </c>
      <c r="C30" s="81"/>
      <c r="D30" s="145" t="s">
        <v>4</v>
      </c>
      <c r="E30" s="145" t="s">
        <v>72</v>
      </c>
      <c r="F30" s="145" t="s">
        <v>8</v>
      </c>
      <c r="G30" s="145" t="s">
        <v>72</v>
      </c>
    </row>
    <row r="31" spans="2:7" x14ac:dyDescent="0.3">
      <c r="B31" s="78" t="s">
        <v>124</v>
      </c>
      <c r="C31" s="78" t="s">
        <v>118</v>
      </c>
      <c r="D31" s="139">
        <f>SUMIFS('Verkoop &amp; Opbrengsten'!$G$6:$G$500,'Verkoop &amp; Opbrengsten'!$N$6:$N$500,6,'Verkoop &amp; Opbrengsten'!$H$6:$H$500,0.21,'Verkoop &amp; Opbrengsten'!$O$6:$O$500,Basisinstellingen!C5)</f>
        <v>0</v>
      </c>
      <c r="E31" s="139">
        <f>SUMIFS('Verkoop &amp; Opbrengsten'!$I$6:$I$500,'Verkoop &amp; Opbrengsten'!$N$6:$N$500,6,'Verkoop &amp; Opbrengsten'!$H$6:$H$500,0.21,'Verkoop &amp; Opbrengsten'!$O$6:$O$500,Basisinstellingen!C5)</f>
        <v>0</v>
      </c>
      <c r="F31" s="139">
        <f>SUMIFS('Inkoop &amp; Uitgaven'!$G$6:$G$500,'Inkoop &amp; Uitgaven'!$N$6:$N$500,6,'Inkoop &amp; Uitgaven'!$H$6:$H$500,0.21,'Inkoop &amp; Uitgaven'!$O$6:$O$500,Basisinstellingen!C5)</f>
        <v>0</v>
      </c>
      <c r="G31" s="139">
        <f>SUMIFS('Inkoop &amp; Uitgaven'!$I$6:$I$500,'Inkoop &amp; Uitgaven'!$N$6:$N$500,6,'Inkoop &amp; Uitgaven'!$H$6:$H$500,0.21,'Inkoop &amp; Uitgaven'!$O$6:$O$500,Basisinstellingen!C5)</f>
        <v>0</v>
      </c>
    </row>
    <row r="32" spans="2:7" x14ac:dyDescent="0.3">
      <c r="B32" s="78"/>
      <c r="C32" s="78" t="s">
        <v>188</v>
      </c>
      <c r="D32" s="139">
        <f>SUMIFS('Verkoop &amp; Opbrengsten'!$G$6:$G$500,'Verkoop &amp; Opbrengsten'!$N$6:$N$500,6,'Verkoop &amp; Opbrengsten'!$H$6:$H$500,0.09,'Verkoop &amp; Opbrengsten'!$O$6:$O$500,Basisinstellingen!C5)</f>
        <v>0</v>
      </c>
      <c r="E32" s="139">
        <f>SUMIFS('Verkoop &amp; Opbrengsten'!$I$6:$I$500,'Verkoop &amp; Opbrengsten'!$N$6:$N$500,6,'Verkoop &amp; Opbrengsten'!$H$6:$H$500,0.09,'Verkoop &amp; Opbrengsten'!$O$6:$O$500,Basisinstellingen!C5)</f>
        <v>0</v>
      </c>
      <c r="F32" s="139">
        <f>SUMIFS('Inkoop &amp; Uitgaven'!$G$6:$G$500,'Inkoop &amp; Uitgaven'!$N$6:$N$500,6,'Inkoop &amp; Uitgaven'!$H$6:$H$500,0.09,'Inkoop &amp; Uitgaven'!$O$6:$O$500,Basisinstellingen!C5)</f>
        <v>0</v>
      </c>
      <c r="G32" s="139">
        <f>SUMIFS('Inkoop &amp; Uitgaven'!$I$6:$I$500,'Inkoop &amp; Uitgaven'!$N$6:$N$500,6,'Inkoop &amp; Uitgaven'!$H$6:$H$500,0.09,'Inkoop &amp; Uitgaven'!$O$6:$O$500,Basisinstellingen!C5)</f>
        <v>0</v>
      </c>
    </row>
    <row r="33" spans="2:8" x14ac:dyDescent="0.3">
      <c r="B33" s="78"/>
      <c r="C33" s="78" t="s">
        <v>117</v>
      </c>
      <c r="D33" s="139">
        <f>SUMIFS('Verkoop &amp; Opbrengsten'!$G$6:$G$500,'Verkoop &amp; Opbrengsten'!$N$6:$N$500,6,'Verkoop &amp; Opbrengsten'!$H$6:$H$500,"Geen btw",'Verkoop &amp; Opbrengsten'!$C$6:$C$500,"Bonnetje",'Verkoop &amp; Opbrengsten'!$O$6:$O$500,Basisinstellingen!C5)+SUMIFS('Verkoop &amp; Opbrengsten'!$G$6:$G$500,'Verkoop &amp; Opbrengsten'!$N$6:$N$500,6,'Verkoop &amp; Opbrengsten'!$H$6:$H$500,"Geen btw",'Verkoop &amp; Opbrengsten'!$C$6:$C$500,"Factuur",'Verkoop &amp; Opbrengsten'!$O$6:$O$500,Basisinstellingen!C5)</f>
        <v>0</v>
      </c>
      <c r="E33" s="139">
        <f>SUMIFS('Verkoop &amp; Opbrengsten'!$I$6:$I$500,'Verkoop &amp; Opbrengsten'!$N$6:$N$500,6,'Verkoop &amp; Opbrengsten'!$H$6:$H$500,"Geen btw",'Verkoop &amp; Opbrengsten'!$O$6:$O$500,Basisinstellingen!C5)</f>
        <v>0</v>
      </c>
      <c r="F33" s="139">
        <f>SUMIFS('Inkoop &amp; Uitgaven'!$G$6:$G$500,'Inkoop &amp; Uitgaven'!$N$6:$N$500,6,'Inkoop &amp; Uitgaven'!$H$6:$H$500,"Geen btw",'Inkoop &amp; Uitgaven'!$C$6:$C$500,"Bonnetje",'Inkoop &amp; Uitgaven'!$O$6:$O$500,Basisinstellingen!C5)+SUMIFS('Inkoop &amp; Uitgaven'!$G$6:$G$500,'Inkoop &amp; Uitgaven'!$N$6:$N$500,6,'Inkoop &amp; Uitgaven'!$H$6:$H$500,"Geen btw",'Inkoop &amp; Uitgaven'!$C$6:$C$500,"Factuur",'Inkoop &amp; Uitgaven'!$O$6:$O$500,Basisinstellingen!C5)</f>
        <v>0</v>
      </c>
      <c r="G33" s="139">
        <f>SUMIFS('Inkoop &amp; Uitgaven'!$I$6:$I$500,'Inkoop &amp; Uitgaven'!$N$6:$N$500,6,'Inkoop &amp; Uitgaven'!$H$6:$H$500,"Geen btw",'Inkoop &amp; Uitgaven'!$O$6:$O$500,Basisinstellingen!C5)</f>
        <v>0</v>
      </c>
    </row>
    <row r="34" spans="2:8" x14ac:dyDescent="0.3">
      <c r="D34" s="144"/>
      <c r="E34" s="146"/>
      <c r="F34" s="146"/>
      <c r="G34" s="146"/>
    </row>
    <row r="35" spans="2:8" x14ac:dyDescent="0.3">
      <c r="B35" s="81" t="s">
        <v>66</v>
      </c>
      <c r="C35" s="81"/>
      <c r="D35" s="145" t="s">
        <v>4</v>
      </c>
      <c r="E35" s="145" t="s">
        <v>72</v>
      </c>
      <c r="F35" s="145" t="s">
        <v>8</v>
      </c>
      <c r="G35" s="145" t="s">
        <v>72</v>
      </c>
    </row>
    <row r="36" spans="2:8" x14ac:dyDescent="0.3">
      <c r="B36" s="78" t="s">
        <v>125</v>
      </c>
      <c r="C36" s="78" t="s">
        <v>118</v>
      </c>
      <c r="D36" s="139">
        <f>SUMIFS('Verkoop &amp; Opbrengsten'!$G$6:$G$500,'Verkoop &amp; Opbrengsten'!$N$6:$N$500,7,'Verkoop &amp; Opbrengsten'!$H$6:$H$500,0.21,'Verkoop &amp; Opbrengsten'!$O$6:$O$500,Basisinstellingen!C5)</f>
        <v>0</v>
      </c>
      <c r="E36" s="139">
        <f>SUMIFS('Verkoop &amp; Opbrengsten'!$I$6:$I$500,'Verkoop &amp; Opbrengsten'!$N$6:$N$500,7,'Verkoop &amp; Opbrengsten'!$H$6:$H$500,0.21,'Verkoop &amp; Opbrengsten'!$O$6:$O$500,Basisinstellingen!C5)</f>
        <v>0</v>
      </c>
      <c r="F36" s="139">
        <f>SUMIFS('Inkoop &amp; Uitgaven'!$G$6:$G$500,'Inkoop &amp; Uitgaven'!$N$6:$N$500,7,'Inkoop &amp; Uitgaven'!$H$6:$H$500,0.21,'Inkoop &amp; Uitgaven'!$O$6:$O$500,Basisinstellingen!C5)</f>
        <v>0</v>
      </c>
      <c r="G36" s="139">
        <f>SUMIFS('Inkoop &amp; Uitgaven'!$I$6:$I$500,'Inkoop &amp; Uitgaven'!$N$6:$N$500,7,'Inkoop &amp; Uitgaven'!$H$6:$H$500,0.21,'Inkoop &amp; Uitgaven'!$O$6:$O$500,Basisinstellingen!C5)</f>
        <v>0</v>
      </c>
    </row>
    <row r="37" spans="2:8" x14ac:dyDescent="0.3">
      <c r="B37" s="78"/>
      <c r="C37" s="78" t="s">
        <v>188</v>
      </c>
      <c r="D37" s="139">
        <f>SUMIFS('Verkoop &amp; Opbrengsten'!$G$6:$G$500,'Verkoop &amp; Opbrengsten'!$N$6:$N$500,7,'Verkoop &amp; Opbrengsten'!$H$6:$H$500,0.09,'Verkoop &amp; Opbrengsten'!$O$6:$O$500,Basisinstellingen!C5)</f>
        <v>0</v>
      </c>
      <c r="E37" s="139">
        <f>SUMIFS('Verkoop &amp; Opbrengsten'!$I$6:$I$500,'Verkoop &amp; Opbrengsten'!$N$6:$N$500,7,'Verkoop &amp; Opbrengsten'!$H$6:$H$500,0.09,'Verkoop &amp; Opbrengsten'!$O$6:$O$500,Basisinstellingen!C5)</f>
        <v>0</v>
      </c>
      <c r="F37" s="139">
        <f>SUMIFS('Inkoop &amp; Uitgaven'!$G$6:$G$500,'Inkoop &amp; Uitgaven'!$N$6:$N$500,7,'Inkoop &amp; Uitgaven'!$H$6:$H$500,0.09,'Inkoop &amp; Uitgaven'!$O$6:$O$500,Basisinstellingen!C5)</f>
        <v>0</v>
      </c>
      <c r="G37" s="139">
        <f>SUMIFS('Inkoop &amp; Uitgaven'!$I$6:$I$500,'Inkoop &amp; Uitgaven'!$N$6:$N$500,7,'Inkoop &amp; Uitgaven'!$H$6:$H$500,0.09,'Inkoop &amp; Uitgaven'!$O$6:$O$500,Basisinstellingen!C5)</f>
        <v>0</v>
      </c>
    </row>
    <row r="38" spans="2:8" x14ac:dyDescent="0.3">
      <c r="B38" s="78"/>
      <c r="C38" s="78" t="s">
        <v>117</v>
      </c>
      <c r="D38" s="139">
        <f>SUMIFS('Verkoop &amp; Opbrengsten'!$G$6:$G$500,'Verkoop &amp; Opbrengsten'!$N$6:$N$500,7,'Verkoop &amp; Opbrengsten'!$H$6:$H$500,"Geen btw",'Verkoop &amp; Opbrengsten'!$C$6:$C$500,"Bonnetje",'Verkoop &amp; Opbrengsten'!$O$6:$O$500,Basisinstellingen!C5)+SUMIFS('Verkoop &amp; Opbrengsten'!$G$6:$G$500,'Verkoop &amp; Opbrengsten'!$N$6:$N$500,7,'Verkoop &amp; Opbrengsten'!$H$6:$H$500,"Geen btw",'Verkoop &amp; Opbrengsten'!$C$6:$C$500,"Factuur",'Verkoop &amp; Opbrengsten'!$O$6:$O$500,Basisinstellingen!C5)</f>
        <v>0</v>
      </c>
      <c r="E38" s="139">
        <f>SUMIFS('Verkoop &amp; Opbrengsten'!$I$6:$I$500,'Verkoop &amp; Opbrengsten'!$N$6:$N$500,7,'Verkoop &amp; Opbrengsten'!$H$6:$H$500,"Geen btw",'Verkoop &amp; Opbrengsten'!$O$6:$O$500,Basisinstellingen!C5)</f>
        <v>0</v>
      </c>
      <c r="F38" s="139">
        <f>SUMIFS('Inkoop &amp; Uitgaven'!$G$6:$G$500,'Inkoop &amp; Uitgaven'!$N$6:$N$500,7,'Inkoop &amp; Uitgaven'!$H$6:$H$500,"Geen btw",'Inkoop &amp; Uitgaven'!$C$6:$C$500,"Bonnetje",'Inkoop &amp; Uitgaven'!$O$6:$O$500,Basisinstellingen!C5)+SUMIFS('Inkoop &amp; Uitgaven'!$G$6:$G$500,'Inkoop &amp; Uitgaven'!$N$6:$N$500,7,'Inkoop &amp; Uitgaven'!$H$6:$H$500,"Geen btw",'Inkoop &amp; Uitgaven'!$C$6:$C$500,"Factuur",'Inkoop &amp; Uitgaven'!$O$6:$O$500,Basisinstellingen!C5)</f>
        <v>0</v>
      </c>
      <c r="G38" s="139">
        <f>SUMIFS('Inkoop &amp; Uitgaven'!$I$6:$I$500,'Inkoop &amp; Uitgaven'!$N$6:$N$500,7,'Inkoop &amp; Uitgaven'!$H$6:$H$500,"Geen btw",'Inkoop &amp; Uitgaven'!$O$6:$O$500,Basisinstellingen!C5)</f>
        <v>0</v>
      </c>
    </row>
    <row r="39" spans="2:8" x14ac:dyDescent="0.3">
      <c r="D39" s="144"/>
      <c r="E39" s="141"/>
      <c r="F39" s="141"/>
      <c r="G39" s="141"/>
    </row>
    <row r="40" spans="2:8" x14ac:dyDescent="0.3">
      <c r="B40" s="81" t="s">
        <v>66</v>
      </c>
      <c r="C40" s="81"/>
      <c r="D40" s="145" t="s">
        <v>4</v>
      </c>
      <c r="E40" s="145" t="s">
        <v>72</v>
      </c>
      <c r="F40" s="145" t="s">
        <v>8</v>
      </c>
      <c r="G40" s="145" t="s">
        <v>72</v>
      </c>
    </row>
    <row r="41" spans="2:8" x14ac:dyDescent="0.3">
      <c r="B41" s="78" t="s">
        <v>126</v>
      </c>
      <c r="C41" s="78" t="s">
        <v>118</v>
      </c>
      <c r="D41" s="139">
        <f>SUMIFS('Verkoop &amp; Opbrengsten'!$G$6:$G$500,'Verkoop &amp; Opbrengsten'!$N$6:$N$500,8,'Verkoop &amp; Opbrengsten'!$H$6:$H$500,0.21,'Verkoop &amp; Opbrengsten'!$O$6:$O$500,Basisinstellingen!C5)</f>
        <v>0</v>
      </c>
      <c r="E41" s="139">
        <f>SUMIFS('Verkoop &amp; Opbrengsten'!$I$6:$I$500,'Verkoop &amp; Opbrengsten'!$N$6:$N$500,8,'Verkoop &amp; Opbrengsten'!$H$6:$H$500,0.21,'Verkoop &amp; Opbrengsten'!$O$6:$O$500,Basisinstellingen!C5)</f>
        <v>0</v>
      </c>
      <c r="F41" s="139">
        <f>SUMIFS('Inkoop &amp; Uitgaven'!$G$6:$G$500,'Inkoop &amp; Uitgaven'!$N$6:$N$500,8,'Inkoop &amp; Uitgaven'!$H$6:$H$500,0.21,'Inkoop &amp; Uitgaven'!$O$6:$O$500,Basisinstellingen!C5)</f>
        <v>0</v>
      </c>
      <c r="G41" s="139">
        <f>SUMIFS('Inkoop &amp; Uitgaven'!$I$6:$I$500,'Inkoop &amp; Uitgaven'!$N$6:$N$500,8,'Inkoop &amp; Uitgaven'!$H$6:$H$500,0.21,'Inkoop &amp; Uitgaven'!$O$6:$O$500,Basisinstellingen!C5)</f>
        <v>0</v>
      </c>
    </row>
    <row r="42" spans="2:8" x14ac:dyDescent="0.3">
      <c r="B42" s="78"/>
      <c r="C42" s="78" t="s">
        <v>188</v>
      </c>
      <c r="D42" s="139">
        <f>SUMIFS('Verkoop &amp; Opbrengsten'!$G$6:$G$500,'Verkoop &amp; Opbrengsten'!$N$6:$N$500,8,'Verkoop &amp; Opbrengsten'!$H$6:$H$500,0.09,'Verkoop &amp; Opbrengsten'!$O$6:$O$500,Basisinstellingen!C5)</f>
        <v>0</v>
      </c>
      <c r="E42" s="139">
        <f>SUMIFS('Verkoop &amp; Opbrengsten'!$I$6:$I$500,'Verkoop &amp; Opbrengsten'!$N$6:$N$500,8,'Verkoop &amp; Opbrengsten'!$H$6:$H$500,0.09,'Verkoop &amp; Opbrengsten'!$O$6:$O$500,Basisinstellingen!C5)</f>
        <v>0</v>
      </c>
      <c r="F42" s="139">
        <f>SUMIFS('Inkoop &amp; Uitgaven'!$G$6:$G$500,'Inkoop &amp; Uitgaven'!$N$6:$N$500,8,'Inkoop &amp; Uitgaven'!$H$6:$H$500,0.09,'Inkoop &amp; Uitgaven'!$O$6:$O$500,Basisinstellingen!C5)</f>
        <v>0</v>
      </c>
      <c r="G42" s="139">
        <f>SUMIFS('Inkoop &amp; Uitgaven'!$I$6:$I$500,'Inkoop &amp; Uitgaven'!$N$6:$N$500,8,'Inkoop &amp; Uitgaven'!$H$6:$H$500,0.09,'Inkoop &amp; Uitgaven'!$O$6:$O$500,Basisinstellingen!C5)</f>
        <v>0</v>
      </c>
      <c r="H42" s="7"/>
    </row>
    <row r="43" spans="2:8" x14ac:dyDescent="0.3">
      <c r="B43" s="78"/>
      <c r="C43" s="78" t="s">
        <v>117</v>
      </c>
      <c r="D43" s="139">
        <f>SUMIFS('Verkoop &amp; Opbrengsten'!$G$6:$G$500,'Verkoop &amp; Opbrengsten'!$N$6:$N$500,8,'Verkoop &amp; Opbrengsten'!$H$6:$H$500,"Geen btw",'Verkoop &amp; Opbrengsten'!$C$6:$C$500,"Bonnetje",'Verkoop &amp; Opbrengsten'!$O$6:$O$500,Basisinstellingen!C5)+SUMIFS('Verkoop &amp; Opbrengsten'!$G$6:$G$500,'Verkoop &amp; Opbrengsten'!$N$6:$N$500,8,'Verkoop &amp; Opbrengsten'!$H$6:$H$500,"Geen btw",'Verkoop &amp; Opbrengsten'!$C$6:$C$500,"Factuur",'Verkoop &amp; Opbrengsten'!$O$6:$O$500,Basisinstellingen!C5)</f>
        <v>0</v>
      </c>
      <c r="E43" s="139">
        <f>SUMIFS('Verkoop &amp; Opbrengsten'!$I$6:$I$500,'Verkoop &amp; Opbrengsten'!$N$6:$N$500,8,'Verkoop &amp; Opbrengsten'!$H$6:$H$500,"Geen btw",'Verkoop &amp; Opbrengsten'!$O$6:$O$500,Basisinstellingen!C5)</f>
        <v>0</v>
      </c>
      <c r="F43" s="139">
        <f>SUMIFS('Inkoop &amp; Uitgaven'!$G$6:$G$500,'Inkoop &amp; Uitgaven'!$N$6:$N$500,8,'Inkoop &amp; Uitgaven'!$H$6:$H$500,"Geen btw",'Inkoop &amp; Uitgaven'!$C$6:$C$500,"Bonnetje",'Inkoop &amp; Uitgaven'!$O$6:$O$500,Basisinstellingen!C5)+SUMIFS('Inkoop &amp; Uitgaven'!$G$6:$G$500,'Inkoop &amp; Uitgaven'!$N$6:$N$500,8,'Inkoop &amp; Uitgaven'!$H$6:$H$500,"Geen btw",'Inkoop &amp; Uitgaven'!$C$6:$C$500,"Factuur",'Inkoop &amp; Uitgaven'!$O$6:$O$500,Basisinstellingen!C5)</f>
        <v>0</v>
      </c>
      <c r="G43" s="139">
        <f>SUMIFS('Inkoop &amp; Uitgaven'!$I$6:$I$500,'Inkoop &amp; Uitgaven'!$N$6:$N$500,8,'Inkoop &amp; Uitgaven'!$H$6:$H$500,"Geen btw",'Inkoop &amp; Uitgaven'!$O$6:$O$500,Basisinstellingen!C5)</f>
        <v>0</v>
      </c>
    </row>
    <row r="44" spans="2:8" x14ac:dyDescent="0.3">
      <c r="D44" s="144"/>
      <c r="E44" s="141"/>
      <c r="F44" s="141"/>
      <c r="G44" s="141"/>
    </row>
    <row r="45" spans="2:8" x14ac:dyDescent="0.3">
      <c r="B45" s="81" t="s">
        <v>66</v>
      </c>
      <c r="C45" s="81"/>
      <c r="D45" s="145" t="s">
        <v>4</v>
      </c>
      <c r="E45" s="145" t="s">
        <v>72</v>
      </c>
      <c r="F45" s="145" t="s">
        <v>8</v>
      </c>
      <c r="G45" s="145" t="s">
        <v>72</v>
      </c>
    </row>
    <row r="46" spans="2:8" x14ac:dyDescent="0.3">
      <c r="B46" s="78" t="s">
        <v>127</v>
      </c>
      <c r="C46" s="78" t="s">
        <v>118</v>
      </c>
      <c r="D46" s="139">
        <f>SUMIFS('Verkoop &amp; Opbrengsten'!$G$6:$G$500,'Verkoop &amp; Opbrengsten'!$N$6:$N$500,9,'Verkoop &amp; Opbrengsten'!$H$6:$H$500,0.21,'Verkoop &amp; Opbrengsten'!$O$6:$O$500,Basisinstellingen!C5)</f>
        <v>0</v>
      </c>
      <c r="E46" s="139">
        <f>SUMIFS('Verkoop &amp; Opbrengsten'!$I$6:$I$500,'Verkoop &amp; Opbrengsten'!$N$6:$N$500,9,'Verkoop &amp; Opbrengsten'!$H$6:$H$500,0.21,'Verkoop &amp; Opbrengsten'!$O$6:$O$500,Basisinstellingen!C5)</f>
        <v>0</v>
      </c>
      <c r="F46" s="139">
        <f>SUMIFS('Inkoop &amp; Uitgaven'!$G$6:$G$500,'Inkoop &amp; Uitgaven'!$N$6:$N$500,9,'Inkoop &amp; Uitgaven'!$H$6:$H$500,0.21,'Inkoop &amp; Uitgaven'!$O$6:$O$500,Basisinstellingen!C5)</f>
        <v>0</v>
      </c>
      <c r="G46" s="139">
        <f>SUMIFS('Inkoop &amp; Uitgaven'!$I$6:$I$500,'Inkoop &amp; Uitgaven'!$N$6:$N$500,9,'Inkoop &amp; Uitgaven'!$H$6:$H$500,0.21,'Inkoop &amp; Uitgaven'!$O$6:$O$500,Basisinstellingen!C5)</f>
        <v>0</v>
      </c>
    </row>
    <row r="47" spans="2:8" x14ac:dyDescent="0.3">
      <c r="B47" s="78"/>
      <c r="C47" s="78" t="s">
        <v>188</v>
      </c>
      <c r="D47" s="139">
        <f>SUMIFS('Verkoop &amp; Opbrengsten'!$G$6:$G$500,'Verkoop &amp; Opbrengsten'!$N$6:$N$500,9,'Verkoop &amp; Opbrengsten'!$H$6:$H$500,0.09,'Verkoop &amp; Opbrengsten'!$O$6:$O$500,Basisinstellingen!C5)</f>
        <v>0</v>
      </c>
      <c r="E47" s="139">
        <f>SUMIFS('Verkoop &amp; Opbrengsten'!$I$6:$I$500,'Verkoop &amp; Opbrengsten'!$N$6:$N$500,9,'Verkoop &amp; Opbrengsten'!$H$6:$H$500,0.09,'Verkoop &amp; Opbrengsten'!$O$6:$O$500,Basisinstellingen!C5)</f>
        <v>0</v>
      </c>
      <c r="F47" s="139">
        <f>SUMIFS('Inkoop &amp; Uitgaven'!$G$6:$G$500,'Inkoop &amp; Uitgaven'!$N$6:$N$500,9,'Inkoop &amp; Uitgaven'!$H$6:$H$500,0.09,'Inkoop &amp; Uitgaven'!$O$6:$O$500,Basisinstellingen!C5)</f>
        <v>0</v>
      </c>
      <c r="G47" s="139">
        <f>SUMIFS('Inkoop &amp; Uitgaven'!$I$6:$I$500,'Inkoop &amp; Uitgaven'!$N$6:$N$500,9,'Inkoop &amp; Uitgaven'!$H$6:$H$500,0.09,'Inkoop &amp; Uitgaven'!$O$6:$O$500,Basisinstellingen!C5)</f>
        <v>0</v>
      </c>
    </row>
    <row r="48" spans="2:8" x14ac:dyDescent="0.3">
      <c r="B48" s="78"/>
      <c r="C48" s="78" t="s">
        <v>117</v>
      </c>
      <c r="D48" s="139">
        <f>SUMIFS('Verkoop &amp; Opbrengsten'!$G$6:$G$500,'Verkoop &amp; Opbrengsten'!$N$6:$N$500,9,'Verkoop &amp; Opbrengsten'!$H$6:$H$500,"Geen btw",'Verkoop &amp; Opbrengsten'!$C$6:$C$500,"Bonnetje",'Verkoop &amp; Opbrengsten'!$O$6:$O$500,Basisinstellingen!C5)+SUMIFS('Verkoop &amp; Opbrengsten'!$G$6:$G$500,'Verkoop &amp; Opbrengsten'!$N$6:$N$500,9,'Verkoop &amp; Opbrengsten'!$H$6:$H$500,"Geen btw",'Verkoop &amp; Opbrengsten'!$C$6:$C$500,"Factuur",'Verkoop &amp; Opbrengsten'!$O$6:$O$500,Basisinstellingen!C5)</f>
        <v>0</v>
      </c>
      <c r="E48" s="139">
        <f>SUMIFS('Verkoop &amp; Opbrengsten'!$I$6:$I$500,'Verkoop &amp; Opbrengsten'!$N$6:$N$500,9,'Verkoop &amp; Opbrengsten'!$H$6:$H$500,"Geen btw",'Verkoop &amp; Opbrengsten'!$O$6:$O$500,Basisinstellingen!C5)</f>
        <v>0</v>
      </c>
      <c r="F48" s="139">
        <f>SUMIFS('Inkoop &amp; Uitgaven'!$G$6:$G$500,'Inkoop &amp; Uitgaven'!$N$6:$N$500,9,'Inkoop &amp; Uitgaven'!$H$6:$H$500,"Geen btw",'Inkoop &amp; Uitgaven'!$C$6:$C$500,"Bonnetje",'Inkoop &amp; Uitgaven'!$O$6:$O$500,Basisinstellingen!C5)+SUMIFS('Inkoop &amp; Uitgaven'!$G$6:$G$500,'Inkoop &amp; Uitgaven'!$N$6:$N$500,9,'Inkoop &amp; Uitgaven'!$H$6:$H$500,"Geen btw",'Inkoop &amp; Uitgaven'!$C$6:$C$500,"Factuur",'Inkoop &amp; Uitgaven'!$O$6:$O$500,Basisinstellingen!C5)</f>
        <v>0</v>
      </c>
      <c r="G48" s="139">
        <f>SUMIFS('Inkoop &amp; Uitgaven'!$I$6:$I$500,'Inkoop &amp; Uitgaven'!$N$6:$N$500,9,'Inkoop &amp; Uitgaven'!$H$6:$H$500,"Geen btw",'Inkoop &amp; Uitgaven'!$O$6:$O$500,Basisinstellingen!C5)</f>
        <v>0</v>
      </c>
    </row>
    <row r="49" spans="2:7" x14ac:dyDescent="0.3">
      <c r="D49" s="144"/>
      <c r="E49" s="141"/>
      <c r="F49" s="141"/>
      <c r="G49" s="141"/>
    </row>
    <row r="50" spans="2:7" x14ac:dyDescent="0.3">
      <c r="B50" s="81" t="s">
        <v>66</v>
      </c>
      <c r="C50" s="81"/>
      <c r="D50" s="145" t="s">
        <v>4</v>
      </c>
      <c r="E50" s="145" t="s">
        <v>72</v>
      </c>
      <c r="F50" s="145" t="s">
        <v>8</v>
      </c>
      <c r="G50" s="145" t="s">
        <v>72</v>
      </c>
    </row>
    <row r="51" spans="2:7" x14ac:dyDescent="0.3">
      <c r="B51" s="78" t="s">
        <v>128</v>
      </c>
      <c r="C51" s="78" t="s">
        <v>118</v>
      </c>
      <c r="D51" s="139">
        <f>SUMIFS('Verkoop &amp; Opbrengsten'!$G$6:$G$500,'Verkoop &amp; Opbrengsten'!$N$6:$N$500,10,'Verkoop &amp; Opbrengsten'!$H$6:$H$500,0.21,'Verkoop &amp; Opbrengsten'!$O$6:$O$500,Basisinstellingen!C5)</f>
        <v>0</v>
      </c>
      <c r="E51" s="139">
        <f>SUMIFS('Verkoop &amp; Opbrengsten'!$I$6:$I$500,'Verkoop &amp; Opbrengsten'!$N$6:$N$500,10,'Verkoop &amp; Opbrengsten'!$H$6:$H$500,0.21,'Verkoop &amp; Opbrengsten'!$O$6:$O$500,Basisinstellingen!C5)</f>
        <v>0</v>
      </c>
      <c r="F51" s="139">
        <f>SUMIFS('Inkoop &amp; Uitgaven'!$G$6:$G$500,'Inkoop &amp; Uitgaven'!$N$6:$N$500,10,'Inkoop &amp; Uitgaven'!$H$6:$H$500,0.21,'Inkoop &amp; Uitgaven'!$O$6:$O$500,Basisinstellingen!C5)</f>
        <v>0</v>
      </c>
      <c r="G51" s="139">
        <f>SUMIFS('Inkoop &amp; Uitgaven'!$I$6:$I$500,'Inkoop &amp; Uitgaven'!$N$6:$N$500,10,'Inkoop &amp; Uitgaven'!$H$6:$H$500,0.21,'Inkoop &amp; Uitgaven'!$O$6:$O$500,Basisinstellingen!C5)</f>
        <v>0</v>
      </c>
    </row>
    <row r="52" spans="2:7" x14ac:dyDescent="0.3">
      <c r="B52" s="78"/>
      <c r="C52" s="78" t="s">
        <v>188</v>
      </c>
      <c r="D52" s="139">
        <f>SUMIFS('Verkoop &amp; Opbrengsten'!$G$6:$G$500,'Verkoop &amp; Opbrengsten'!$N$6:$N$500,10,'Verkoop &amp; Opbrengsten'!$H$6:$H$500,0.09,'Verkoop &amp; Opbrengsten'!$O$6:$O$500,Basisinstellingen!C5)</f>
        <v>0</v>
      </c>
      <c r="E52" s="139">
        <f>SUMIFS('Verkoop &amp; Opbrengsten'!$I$6:$I$500,'Verkoop &amp; Opbrengsten'!$N$6:$N$500,10,'Verkoop &amp; Opbrengsten'!$H$6:$H$500,0.09,'Verkoop &amp; Opbrengsten'!$O$6:$O$500,Basisinstellingen!C5)</f>
        <v>0</v>
      </c>
      <c r="F52" s="139">
        <f>SUMIFS('Inkoop &amp; Uitgaven'!$G$6:$G$500,'Inkoop &amp; Uitgaven'!$N$6:$N$500,10,'Inkoop &amp; Uitgaven'!$H$6:$H$500,0.09,'Inkoop &amp; Uitgaven'!$O$6:$O$500,Basisinstellingen!C5)</f>
        <v>0</v>
      </c>
      <c r="G52" s="139">
        <f>SUMIFS('Inkoop &amp; Uitgaven'!$I$6:$I$500,'Inkoop &amp; Uitgaven'!$N$6:$N$500,10,'Inkoop &amp; Uitgaven'!$H$6:$H$500,0.09,'Inkoop &amp; Uitgaven'!$O$6:$O$500,Basisinstellingen!C5)</f>
        <v>0</v>
      </c>
    </row>
    <row r="53" spans="2:7" x14ac:dyDescent="0.3">
      <c r="B53" s="78"/>
      <c r="C53" s="78" t="s">
        <v>117</v>
      </c>
      <c r="D53" s="139">
        <f>SUMIFS('Verkoop &amp; Opbrengsten'!$G$6:$G$500,'Verkoop &amp; Opbrengsten'!$N$6:$N$500,10,'Verkoop &amp; Opbrengsten'!$H$6:$H$500,"Geen btw",'Verkoop &amp; Opbrengsten'!$C$6:$C$500,"Bonnetje",'Verkoop &amp; Opbrengsten'!$O$6:$O$500,Basisinstellingen!C5)+SUMIFS('Verkoop &amp; Opbrengsten'!$G$6:$G$500,'Verkoop &amp; Opbrengsten'!$N$6:$N$500,10,'Verkoop &amp; Opbrengsten'!$H$6:$H$500,"Geen btw",'Verkoop &amp; Opbrengsten'!$C$6:$C$500,"Factuur",'Verkoop &amp; Opbrengsten'!$O$6:$O$500,Basisinstellingen!C5)</f>
        <v>0</v>
      </c>
      <c r="E53" s="139">
        <f>SUMIFS('Verkoop &amp; Opbrengsten'!$I$6:$I$500,'Verkoop &amp; Opbrengsten'!$N$6:$N$500,10,'Verkoop &amp; Opbrengsten'!$H$6:$H$500,"Geen btw",'Verkoop &amp; Opbrengsten'!$O$6:$O$500,Basisinstellingen!C5)</f>
        <v>0</v>
      </c>
      <c r="F53" s="139">
        <f>SUMIFS('Inkoop &amp; Uitgaven'!$G$6:$G$500,'Inkoop &amp; Uitgaven'!$N$6:$N$500,10,'Inkoop &amp; Uitgaven'!$H$6:$H$500,"Geen btw",'Inkoop &amp; Uitgaven'!$C$6:$C$500,"Bonnetje",'Inkoop &amp; Uitgaven'!$O$6:$O$500,Basisinstellingen!C5)+SUMIFS('Inkoop &amp; Uitgaven'!$G$6:$G$500,'Inkoop &amp; Uitgaven'!$N$6:$N$500,10,'Inkoop &amp; Uitgaven'!$H$6:$H$500,"Geen btw",'Inkoop &amp; Uitgaven'!$C$6:$C$500,"Factuur",'Inkoop &amp; Uitgaven'!$O$6:$O$500,Basisinstellingen!C5)</f>
        <v>0</v>
      </c>
      <c r="G53" s="139">
        <f>SUMIFS('Inkoop &amp; Uitgaven'!$I$6:$I$500,'Inkoop &amp; Uitgaven'!$N$6:$N$500,10,'Inkoop &amp; Uitgaven'!$H$6:$H$500,"Geen btw",'Inkoop &amp; Uitgaven'!$O$6:$O$500,Basisinstellingen!C5)</f>
        <v>0</v>
      </c>
    </row>
    <row r="54" spans="2:7" x14ac:dyDescent="0.3">
      <c r="D54" s="144"/>
      <c r="E54" s="141"/>
      <c r="F54" s="141"/>
      <c r="G54" s="141"/>
    </row>
    <row r="55" spans="2:7" x14ac:dyDescent="0.3">
      <c r="B55" s="81" t="s">
        <v>66</v>
      </c>
      <c r="C55" s="81"/>
      <c r="D55" s="145" t="s">
        <v>4</v>
      </c>
      <c r="E55" s="145" t="s">
        <v>72</v>
      </c>
      <c r="F55" s="145" t="s">
        <v>8</v>
      </c>
      <c r="G55" s="145" t="s">
        <v>72</v>
      </c>
    </row>
    <row r="56" spans="2:7" x14ac:dyDescent="0.3">
      <c r="B56" s="78" t="s">
        <v>129</v>
      </c>
      <c r="C56" s="82" t="s">
        <v>118</v>
      </c>
      <c r="D56" s="147">
        <f>SUMIFS('Verkoop &amp; Opbrengsten'!$G$6:$G$500,'Verkoop &amp; Opbrengsten'!$N$6:$N$500,11,'Verkoop &amp; Opbrengsten'!$H$6:$H$500,0.21,'Verkoop &amp; Opbrengsten'!$O$6:$O$500,Basisinstellingen!C5)</f>
        <v>0</v>
      </c>
      <c r="E56" s="147">
        <f>SUMIFS('Verkoop &amp; Opbrengsten'!$I$6:$I$500,'Verkoop &amp; Opbrengsten'!$N$6:$N$500,11,'Verkoop &amp; Opbrengsten'!$H$6:$H$500,0.21,'Verkoop &amp; Opbrengsten'!$O$6:$O$500,Basisinstellingen!C5)</f>
        <v>0</v>
      </c>
      <c r="F56" s="147">
        <f>SUMIFS('Inkoop &amp; Uitgaven'!$G$6:$G$500,'Inkoop &amp; Uitgaven'!$N$6:$N$500,11,'Inkoop &amp; Uitgaven'!$H$6:$H$500,0.21,'Inkoop &amp; Uitgaven'!$O$6:$O$500,Basisinstellingen!C5)</f>
        <v>0</v>
      </c>
      <c r="G56" s="147">
        <f>SUMIFS('Inkoop &amp; Uitgaven'!$I$6:$I$500,'Inkoop &amp; Uitgaven'!$N$6:$N$500,11,'Inkoop &amp; Uitgaven'!$H$6:$H$500,0.21,'Inkoop &amp; Uitgaven'!$O$6:$O$500,Basisinstellingen!C5)</f>
        <v>0</v>
      </c>
    </row>
    <row r="57" spans="2:7" x14ac:dyDescent="0.3">
      <c r="B57" s="78"/>
      <c r="C57" s="78" t="s">
        <v>188</v>
      </c>
      <c r="D57" s="139">
        <f>SUMIFS('Verkoop &amp; Opbrengsten'!$G$6:$G$500,'Verkoop &amp; Opbrengsten'!$N$6:$N$500,11,'Verkoop &amp; Opbrengsten'!$H$6:$H$500,0.09,'Verkoop &amp; Opbrengsten'!$O$6:$O$500,Basisinstellingen!C5)</f>
        <v>0</v>
      </c>
      <c r="E57" s="139">
        <f>SUMIFS('Verkoop &amp; Opbrengsten'!$I$6:$I$500,'Verkoop &amp; Opbrengsten'!$N$6:$N$500,11,'Verkoop &amp; Opbrengsten'!$H$6:$H$500,0.09,'Verkoop &amp; Opbrengsten'!$O$6:$O$500,Basisinstellingen!C5)</f>
        <v>0</v>
      </c>
      <c r="F57" s="139">
        <f>SUMIFS('Inkoop &amp; Uitgaven'!$G$6:$G$500,'Inkoop &amp; Uitgaven'!$N$6:$N$500,11,'Inkoop &amp; Uitgaven'!$H$6:$H$500,0.09,'Inkoop &amp; Uitgaven'!$O$6:$O$500,Basisinstellingen!C5)</f>
        <v>0</v>
      </c>
      <c r="G57" s="139">
        <f>SUMIFS('Inkoop &amp; Uitgaven'!$I$6:$I$500,'Inkoop &amp; Uitgaven'!$N$6:$N$500,11,'Inkoop &amp; Uitgaven'!$H$6:$H$500,0.09,'Inkoop &amp; Uitgaven'!$O$6:$O$500,Basisinstellingen!C5)</f>
        <v>0</v>
      </c>
    </row>
    <row r="58" spans="2:7" x14ac:dyDescent="0.3">
      <c r="B58" s="78"/>
      <c r="C58" s="78" t="s">
        <v>117</v>
      </c>
      <c r="D58" s="139">
        <f>SUMIFS('Verkoop &amp; Opbrengsten'!$G$6:$G$500,'Verkoop &amp; Opbrengsten'!$N$6:$N$500,11,'Verkoop &amp; Opbrengsten'!$H$6:$H$500,"Geen btw",'Verkoop &amp; Opbrengsten'!$C$6:$C$500,"Bonnetje",'Verkoop &amp; Opbrengsten'!$O$6:$O$500,Basisinstellingen!C5)+SUMIFS('Verkoop &amp; Opbrengsten'!$G$6:$G$500,'Verkoop &amp; Opbrengsten'!$N$6:$N$500,11,'Verkoop &amp; Opbrengsten'!$H$6:$H$500,"Geen btw",'Verkoop &amp; Opbrengsten'!$C$6:$C$500,"Factuur",'Verkoop &amp; Opbrengsten'!$O$6:$O$500,Basisinstellingen!C5)</f>
        <v>0</v>
      </c>
      <c r="E58" s="139">
        <f>SUMIFS('Verkoop &amp; Opbrengsten'!$I$6:$I$500,'Verkoop &amp; Opbrengsten'!$N$6:$N$500,11,'Verkoop &amp; Opbrengsten'!$H$6:$H$500,"Geen btw",'Verkoop &amp; Opbrengsten'!$O$6:$O$500,Basisinstellingen!C5)</f>
        <v>0</v>
      </c>
      <c r="F58" s="139">
        <f>SUMIFS('Inkoop &amp; Uitgaven'!$G$6:$G$500,'Inkoop &amp; Uitgaven'!$N$6:$N$500,11,'Inkoop &amp; Uitgaven'!$H$6:$H$500,"Geen btw",'Inkoop &amp; Uitgaven'!$C$6:$C$500,"Bonnetje",'Inkoop &amp; Uitgaven'!$O$6:$O$500,Basisinstellingen!C5)+SUMIFS('Inkoop &amp; Uitgaven'!$G$6:$G$500,'Inkoop &amp; Uitgaven'!$N$6:$N$500,11,'Inkoop &amp; Uitgaven'!$H$6:$H$500,"Geen btw",'Inkoop &amp; Uitgaven'!$C$6:$C$500,"Factuur",'Inkoop &amp; Uitgaven'!$O$6:$O$500,Basisinstellingen!C5)</f>
        <v>0</v>
      </c>
      <c r="G58" s="139">
        <f>SUMIFS('Inkoop &amp; Uitgaven'!$I$6:$I$500,'Inkoop &amp; Uitgaven'!$N$6:$N$500,11,'Inkoop &amp; Uitgaven'!$H$6:$H$500,"Geen btw",'Inkoop &amp; Uitgaven'!$O$6:$O$500,Basisinstellingen!C5)</f>
        <v>0</v>
      </c>
    </row>
    <row r="59" spans="2:7" x14ac:dyDescent="0.3">
      <c r="D59" s="144"/>
      <c r="E59" s="141"/>
      <c r="F59" s="141"/>
      <c r="G59" s="141"/>
    </row>
    <row r="60" spans="2:7" x14ac:dyDescent="0.3">
      <c r="B60" s="81" t="s">
        <v>66</v>
      </c>
      <c r="C60" s="81"/>
      <c r="D60" s="145" t="s">
        <v>4</v>
      </c>
      <c r="E60" s="145" t="s">
        <v>72</v>
      </c>
      <c r="F60" s="145" t="s">
        <v>8</v>
      </c>
      <c r="G60" s="145" t="s">
        <v>72</v>
      </c>
    </row>
    <row r="61" spans="2:7" x14ac:dyDescent="0.3">
      <c r="B61" s="78" t="s">
        <v>130</v>
      </c>
      <c r="C61" s="78" t="s">
        <v>118</v>
      </c>
      <c r="D61" s="139">
        <f>SUMIFS('Verkoop &amp; Opbrengsten'!$G$6:$G$500,'Verkoop &amp; Opbrengsten'!$N$6:$N$500,12,'Verkoop &amp; Opbrengsten'!$H$6:$H$500,0.21,'Verkoop &amp; Opbrengsten'!$O$6:$O$500,Basisinstellingen!C5)</f>
        <v>0</v>
      </c>
      <c r="E61" s="139">
        <f>SUMIFS('Verkoop &amp; Opbrengsten'!$I$6:$I$500,'Verkoop &amp; Opbrengsten'!$N$6:$N$500,12,'Verkoop &amp; Opbrengsten'!$H$6:$H$500,0.21,'Verkoop &amp; Opbrengsten'!$O$6:$O$500,Basisinstellingen!C5)</f>
        <v>0</v>
      </c>
      <c r="F61" s="139">
        <f>SUMIFS('Inkoop &amp; Uitgaven'!$G$6:$G$500,'Inkoop &amp; Uitgaven'!$N$6:$N$500,12,'Inkoop &amp; Uitgaven'!$H$6:$H$500,0.21,'Inkoop &amp; Uitgaven'!$O$6:$O$500,Basisinstellingen!C5)</f>
        <v>0</v>
      </c>
      <c r="G61" s="139">
        <f>SUMIFS('Inkoop &amp; Uitgaven'!$I$6:$I$500,'Inkoop &amp; Uitgaven'!$N$6:$N$500,12,'Inkoop &amp; Uitgaven'!$H$6:$H$500,0.21,'Inkoop &amp; Uitgaven'!$O$6:$O$500,Basisinstellingen!C5)</f>
        <v>0</v>
      </c>
    </row>
    <row r="62" spans="2:7" x14ac:dyDescent="0.3">
      <c r="B62" s="78"/>
      <c r="C62" s="78" t="s">
        <v>188</v>
      </c>
      <c r="D62" s="139">
        <f>SUMIFS('Verkoop &amp; Opbrengsten'!$G$6:$G$500,'Verkoop &amp; Opbrengsten'!$N$6:$N$500,12,'Verkoop &amp; Opbrengsten'!$H$6:$H$500,0.09,'Verkoop &amp; Opbrengsten'!$O$6:$O$500,Basisinstellingen!C5)</f>
        <v>0</v>
      </c>
      <c r="E62" s="139">
        <f>SUMIFS('Verkoop &amp; Opbrengsten'!$I$6:$I$500,'Verkoop &amp; Opbrengsten'!$N$6:$N$500,12,'Verkoop &amp; Opbrengsten'!$H$6:$H$500,0.09,'Verkoop &amp; Opbrengsten'!$O$6:$O$500,Basisinstellingen!C5)</f>
        <v>0</v>
      </c>
      <c r="F62" s="139">
        <f>SUMIFS('Inkoop &amp; Uitgaven'!$G$6:$G$500,'Inkoop &amp; Uitgaven'!$N$6:$N$500,12,'Inkoop &amp; Uitgaven'!$H$6:$H$500,0.09,'Inkoop &amp; Uitgaven'!$O$6:$O$500,Basisinstellingen!C5)</f>
        <v>0</v>
      </c>
      <c r="G62" s="139">
        <f>SUMIFS('Inkoop &amp; Uitgaven'!$I$6:$I$500,'Inkoop &amp; Uitgaven'!$N$6:$N$500,12,'Inkoop &amp; Uitgaven'!$H$6:$H$500,0.09,'Inkoop &amp; Uitgaven'!$O$6:$O$500,Basisinstellingen!C5)</f>
        <v>0</v>
      </c>
    </row>
    <row r="63" spans="2:7" x14ac:dyDescent="0.3">
      <c r="B63" s="78"/>
      <c r="C63" s="78" t="s">
        <v>117</v>
      </c>
      <c r="D63" s="139">
        <f>SUMIFS('Verkoop &amp; Opbrengsten'!$G$6:$G$500,'Verkoop &amp; Opbrengsten'!$N$6:$N$500,12,'Verkoop &amp; Opbrengsten'!$H$6:$H$500,"Geen btw",'Verkoop &amp; Opbrengsten'!$C$6:$C$500,"Bonnetje",'Verkoop &amp; Opbrengsten'!$O$6:$O$500,Basisinstellingen!C5)+SUMIFS('Verkoop &amp; Opbrengsten'!$G$6:$G$500,'Verkoop &amp; Opbrengsten'!$N$6:$N$500,12,'Verkoop &amp; Opbrengsten'!$H$6:$H$500,"Geen btw",'Verkoop &amp; Opbrengsten'!$C$6:$C$500,"Factuur",'Verkoop &amp; Opbrengsten'!$O$6:$O$500,Basisinstellingen!C5)</f>
        <v>0</v>
      </c>
      <c r="E63" s="139">
        <f>SUMIFS('Verkoop &amp; Opbrengsten'!$I$6:$I$500,'Verkoop &amp; Opbrengsten'!$N$6:$N$500,12,'Verkoop &amp; Opbrengsten'!$H$6:$H$500,"Geen btw",'Verkoop &amp; Opbrengsten'!$O$6:$O$500,Basisinstellingen!C5)</f>
        <v>0</v>
      </c>
      <c r="F63" s="139">
        <f>SUMIFS('Inkoop &amp; Uitgaven'!$G$6:$G$500,'Inkoop &amp; Uitgaven'!$N$6:$N$500,12,'Inkoop &amp; Uitgaven'!$H$6:$H$500,"Geen btw",'Inkoop &amp; Uitgaven'!$C$6:$C$500,"Bonnetje",'Inkoop &amp; Uitgaven'!$O$6:$O$500,Basisinstellingen!C5)+SUMIFS('Inkoop &amp; Uitgaven'!$G$6:$G$500,'Inkoop &amp; Uitgaven'!$N$6:$N$500,12,'Inkoop &amp; Uitgaven'!$H$6:$H$500,"Geen btw",'Inkoop &amp; Uitgaven'!$C$6:$C$500,"Factuur",'Inkoop &amp; Uitgaven'!$O$6:$O$500,Basisinstellingen!C5)</f>
        <v>0</v>
      </c>
      <c r="G63" s="139">
        <f>SUMIFS('Inkoop &amp; Uitgaven'!$I$6:$I$500,'Inkoop &amp; Uitgaven'!$N$6:$N$500,12,'Inkoop &amp; Uitgaven'!$H$6:$H$500,"Geen btw",'Inkoop &amp; Uitgaven'!$O$6:$O$500,Basisinstellingen!C5)</f>
        <v>0</v>
      </c>
    </row>
  </sheetData>
  <sheetProtection selectLockedCells="1"/>
  <pageMargins left="0.7" right="0.7" top="0.75" bottom="0.75" header="0.3" footer="0.3"/>
  <pageSetup paperSize="9" orientation="portrait" horizontalDpi="4294967295" verticalDpi="4294967295" r:id="rId1"/>
  <headerFooter>
    <oddFooter>&amp;C_x000D_&amp;1#&amp;"Calibri"&amp;10&amp;K000000 Knab Internal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10"/>
  <dimension ref="A1:H32"/>
  <sheetViews>
    <sheetView showGridLines="0" showRowColHeaders="0" workbookViewId="0">
      <selection activeCell="A55" sqref="A55"/>
    </sheetView>
  </sheetViews>
  <sheetFormatPr defaultColWidth="9" defaultRowHeight="13" x14ac:dyDescent="0.3"/>
  <cols>
    <col min="1" max="1" width="3.8984375" customWidth="1"/>
    <col min="2" max="2" width="15.8984375" customWidth="1"/>
    <col min="3" max="3" width="25.8984375" customWidth="1"/>
    <col min="4" max="7" width="15.8984375" customWidth="1"/>
    <col min="8" max="8" width="35.09765625" customWidth="1"/>
  </cols>
  <sheetData>
    <row r="1" spans="1:8" ht="23.5" x14ac:dyDescent="0.55000000000000004">
      <c r="A1" s="14"/>
      <c r="B1" s="20" t="s">
        <v>84</v>
      </c>
      <c r="C1" s="14"/>
      <c r="D1" s="14"/>
      <c r="E1" s="14"/>
      <c r="F1" s="14"/>
      <c r="G1" s="14"/>
      <c r="H1" s="35">
        <f>Basisinstellingen!C5</f>
        <v>2026</v>
      </c>
    </row>
    <row r="2" spans="1:8" x14ac:dyDescent="0.3">
      <c r="A2" s="14"/>
      <c r="B2" s="14"/>
      <c r="C2" s="14"/>
      <c r="D2" s="14"/>
      <c r="E2" s="14"/>
      <c r="F2" s="14"/>
      <c r="G2" s="14"/>
      <c r="H2" s="14"/>
    </row>
    <row r="3" spans="1:8" x14ac:dyDescent="0.3">
      <c r="A3" s="14"/>
      <c r="B3" s="14"/>
      <c r="C3" s="14"/>
      <c r="D3" s="14"/>
      <c r="E3" s="14"/>
      <c r="F3" s="14"/>
      <c r="G3" s="14"/>
      <c r="H3" s="14"/>
    </row>
    <row r="5" spans="1:8" x14ac:dyDescent="0.3">
      <c r="B5" s="81" t="s">
        <v>66</v>
      </c>
      <c r="C5" s="81"/>
      <c r="D5" s="81" t="s">
        <v>4</v>
      </c>
      <c r="E5" s="81" t="s">
        <v>72</v>
      </c>
      <c r="F5" s="81" t="s">
        <v>8</v>
      </c>
      <c r="G5" s="81" t="s">
        <v>72</v>
      </c>
    </row>
    <row r="6" spans="1:8" x14ac:dyDescent="0.3">
      <c r="B6" s="78">
        <f>Basisinstellingen!C5</f>
        <v>2026</v>
      </c>
      <c r="C6" s="78" t="s">
        <v>118</v>
      </c>
      <c r="D6" s="139">
        <f>'BTW (maand)'!D6+'BTW (maand)'!D11+'BTW (maand)'!D16+'BTW (maand)'!D21+'BTW (maand)'!D26+'BTW (maand)'!D31+'BTW (maand)'!D36+'BTW (maand)'!D41+'BTW (maand)'!D46+'BTW (maand)'!D51+'BTW (maand)'!D56+'BTW (maand)'!D61</f>
        <v>100</v>
      </c>
      <c r="E6" s="139">
        <f>'BTW (maand)'!E6+'BTW (maand)'!E11+'BTW (maand)'!E16+'BTW (maand)'!E21+'BTW (maand)'!E26+'BTW (maand)'!E31+'BTW (maand)'!E36+'BTW (maand)'!E41+'BTW (maand)'!E46+'BTW (maand)'!E51+'BTW (maand)'!E56+'BTW (maand)'!E61</f>
        <v>21</v>
      </c>
      <c r="F6" s="139">
        <f>'BTW (maand)'!F6+'BTW (maand)'!F11+'BTW (maand)'!F16+'BTW (maand)'!F21+'BTW (maand)'!F26+'BTW (maand)'!F31+'BTW (maand)'!F36+'BTW (maand)'!F41+'BTW (maand)'!F46+'BTW (maand)'!F51+'BTW (maand)'!F56+'BTW (maand)'!F61</f>
        <v>0</v>
      </c>
      <c r="G6" s="139">
        <f>'BTW (maand)'!G6+'BTW (maand)'!G11+'BTW (maand)'!G16+'BTW (maand)'!G21+'BTW (maand)'!G26+'BTW (maand)'!G31+'BTW (maand)'!G36+'BTW (maand)'!G41+'BTW (maand)'!G46+'BTW (maand)'!G51+'BTW (maand)'!G56+'BTW (maand)'!G61</f>
        <v>0</v>
      </c>
    </row>
    <row r="7" spans="1:8" x14ac:dyDescent="0.3">
      <c r="B7" s="78"/>
      <c r="C7" s="78" t="s">
        <v>188</v>
      </c>
      <c r="D7" s="139">
        <f>'BTW (maand)'!D7+'BTW (maand)'!D12+'BTW (maand)'!D17+'BTW (maand)'!D22+'BTW (maand)'!D27+'BTW (maand)'!D32+'BTW (maand)'!D37+'BTW (maand)'!D42+'BTW (maand)'!D47+'BTW (maand)'!D52+'BTW (maand)'!D57+'BTW (maand)'!D62</f>
        <v>0</v>
      </c>
      <c r="E7" s="139">
        <f>'BTW (maand)'!E7+'BTW (maand)'!E12+'BTW (maand)'!E17+'BTW (maand)'!E22+'BTW (maand)'!E27+'BTW (maand)'!E32+'BTW (maand)'!E37+'BTW (maand)'!E42+'BTW (maand)'!E47+'BTW (maand)'!E52+'BTW (maand)'!E57+'BTW (maand)'!E62</f>
        <v>0</v>
      </c>
      <c r="F7" s="139">
        <f>'BTW (maand)'!F7+'BTW (maand)'!F12+'BTW (maand)'!F17+'BTW (maand)'!F22+'BTW (maand)'!F27+'BTW (maand)'!F32+'BTW (maand)'!F37+'BTW (maand)'!F42+'BTW (maand)'!F47+'BTW (maand)'!F52+'BTW (maand)'!F57+'BTW (maand)'!F62</f>
        <v>0</v>
      </c>
      <c r="G7" s="139">
        <f>'BTW (maand)'!G7+'BTW (maand)'!G12+'BTW (maand)'!G17+'BTW (maand)'!G22+'BTW (maand)'!G27+'BTW (maand)'!G32+'BTW (maand)'!G37+'BTW (maand)'!G42+'BTW (maand)'!G47+'BTW (maand)'!G52+'BTW (maand)'!G57+'BTW (maand)'!G62</f>
        <v>0</v>
      </c>
    </row>
    <row r="8" spans="1:8" x14ac:dyDescent="0.3">
      <c r="B8" s="78"/>
      <c r="C8" s="78" t="s">
        <v>117</v>
      </c>
      <c r="D8" s="139">
        <f>'BTW (maand)'!D8+'BTW (maand)'!D13+'BTW (maand)'!D18+'BTW (maand)'!D23+'BTW (maand)'!D28+'BTW (maand)'!D33+'BTW (maand)'!D38+'BTW (maand)'!D43+'BTW (maand)'!D48+'BTW (maand)'!D53+'BTW (maand)'!D58+'BTW (maand)'!D63</f>
        <v>0</v>
      </c>
      <c r="E8" s="139">
        <f>'BTW (maand)'!E8+'BTW (maand)'!E13+'BTW (maand)'!E18+'BTW (maand)'!E23+'BTW (maand)'!E28+'BTW (maand)'!E33+'BTW (maand)'!E38+'BTW (maand)'!E43+'BTW (maand)'!E48+'BTW (maand)'!E53+'BTW (maand)'!E58+'BTW (maand)'!E63</f>
        <v>0</v>
      </c>
      <c r="F8" s="139">
        <f>'BTW (maand)'!F8+'BTW (maand)'!F13+'BTW (maand)'!F18+'BTW (maand)'!F23+'BTW (maand)'!F28+'BTW (maand)'!F33+'BTW (maand)'!F38+'BTW (maand)'!F43+'BTW (maand)'!F48+'BTW (maand)'!F53+'BTW (maand)'!F58+'BTW (maand)'!F63</f>
        <v>0</v>
      </c>
      <c r="G8" s="139">
        <f>'BTW (maand)'!G8+'BTW (maand)'!G13+'BTW (maand)'!G18+'BTW (maand)'!G23+'BTW (maand)'!G28+'BTW (maand)'!G33+'BTW (maand)'!G38+'BTW (maand)'!G43+'BTW (maand)'!G48+'BTW (maand)'!G53+'BTW (maand)'!G58+'BTW (maand)'!G63</f>
        <v>0</v>
      </c>
    </row>
    <row r="9" spans="1:8" x14ac:dyDescent="0.3">
      <c r="C9" s="7"/>
      <c r="D9" s="7"/>
      <c r="E9" s="7"/>
      <c r="F9" s="7"/>
    </row>
    <row r="10" spans="1:8" x14ac:dyDescent="0.3">
      <c r="C10" s="7"/>
      <c r="D10" s="7"/>
      <c r="E10" s="7"/>
      <c r="F10" s="7"/>
    </row>
    <row r="11" spans="1:8" x14ac:dyDescent="0.3">
      <c r="C11" s="7"/>
      <c r="D11" s="7"/>
      <c r="E11" s="7"/>
      <c r="F11" s="7"/>
    </row>
    <row r="12" spans="1:8" x14ac:dyDescent="0.3">
      <c r="C12" s="7"/>
      <c r="D12" s="7"/>
      <c r="E12" s="7"/>
      <c r="F12" s="7"/>
    </row>
    <row r="13" spans="1:8" x14ac:dyDescent="0.3">
      <c r="C13" s="7"/>
      <c r="D13" s="7"/>
      <c r="E13" s="7"/>
      <c r="F13" s="7"/>
    </row>
    <row r="14" spans="1:8" x14ac:dyDescent="0.3">
      <c r="C14" s="7"/>
      <c r="D14" s="7"/>
      <c r="E14" s="7"/>
      <c r="F14" s="7"/>
    </row>
    <row r="15" spans="1:8" x14ac:dyDescent="0.3">
      <c r="C15" s="7"/>
      <c r="D15" s="7"/>
      <c r="E15" s="7"/>
      <c r="F15" s="7"/>
    </row>
    <row r="16" spans="1:8" x14ac:dyDescent="0.3">
      <c r="C16" s="7"/>
      <c r="D16" s="7"/>
      <c r="E16" s="7"/>
      <c r="F16" s="7"/>
    </row>
    <row r="17" spans="2:8" x14ac:dyDescent="0.3">
      <c r="C17" s="7"/>
      <c r="D17" s="7"/>
      <c r="E17" s="7"/>
      <c r="F17" s="7"/>
    </row>
    <row r="19" spans="2:8" x14ac:dyDescent="0.3">
      <c r="B19" s="80"/>
      <c r="C19" s="80"/>
      <c r="D19" s="80"/>
      <c r="E19" s="80"/>
      <c r="F19" s="80"/>
    </row>
    <row r="20" spans="2:8" x14ac:dyDescent="0.3">
      <c r="C20" s="7"/>
      <c r="D20" s="7"/>
      <c r="E20" s="7"/>
      <c r="F20" s="7"/>
    </row>
    <row r="21" spans="2:8" x14ac:dyDescent="0.3">
      <c r="C21" s="7"/>
      <c r="D21" s="7"/>
      <c r="E21" s="7"/>
      <c r="F21" s="7"/>
    </row>
    <row r="22" spans="2:8" x14ac:dyDescent="0.3">
      <c r="C22" s="7"/>
      <c r="D22" s="7"/>
      <c r="E22" s="7"/>
      <c r="F22" s="7"/>
    </row>
    <row r="23" spans="2:8" x14ac:dyDescent="0.3">
      <c r="C23" s="7"/>
      <c r="D23" s="7"/>
      <c r="E23" s="7"/>
      <c r="F23" s="7"/>
    </row>
    <row r="24" spans="2:8" x14ac:dyDescent="0.3">
      <c r="C24" s="7"/>
      <c r="D24" s="7"/>
      <c r="E24" s="7"/>
      <c r="F24" s="7"/>
    </row>
    <row r="25" spans="2:8" x14ac:dyDescent="0.3">
      <c r="B25" s="80"/>
      <c r="C25" s="80"/>
      <c r="D25" s="80"/>
      <c r="E25" s="80"/>
      <c r="F25" s="80"/>
    </row>
    <row r="26" spans="2:8" x14ac:dyDescent="0.3">
      <c r="B26" s="1"/>
      <c r="C26" s="7"/>
      <c r="D26" s="7"/>
      <c r="E26" s="7"/>
      <c r="F26" s="7"/>
    </row>
    <row r="32" spans="2:8" x14ac:dyDescent="0.3">
      <c r="H32" s="7"/>
    </row>
  </sheetData>
  <sheetProtection sheet="1" selectLockedCells="1"/>
  <pageMargins left="0.7" right="0.7" top="0.75" bottom="0.75" header="0.3" footer="0.3"/>
  <pageSetup paperSize="9" orientation="portrait" horizontalDpi="4294967295" verticalDpi="4294967295" r:id="rId1"/>
  <headerFooter>
    <oddFooter>&amp;C_x000D_&amp;1#&amp;"Calibri"&amp;10&amp;K000000 Knab Internal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9"/>
  <dimension ref="A1:H29"/>
  <sheetViews>
    <sheetView showGridLines="0" showRowColHeaders="0" tabSelected="1" workbookViewId="0">
      <selection activeCell="B67" sqref="B67"/>
    </sheetView>
  </sheetViews>
  <sheetFormatPr defaultColWidth="9" defaultRowHeight="13" x14ac:dyDescent="0.3"/>
  <cols>
    <col min="1" max="1" width="3.8984375" customWidth="1"/>
    <col min="2" max="2" width="15.8984375" customWidth="1"/>
    <col min="3" max="3" width="25.8984375" customWidth="1"/>
    <col min="4" max="7" width="15.8984375" customWidth="1"/>
    <col min="8" max="8" width="35.09765625" customWidth="1"/>
  </cols>
  <sheetData>
    <row r="1" spans="1:8" ht="23.5" x14ac:dyDescent="0.55000000000000004">
      <c r="A1" s="14"/>
      <c r="B1" s="20" t="s">
        <v>84</v>
      </c>
      <c r="C1" s="14"/>
      <c r="D1" s="14"/>
      <c r="E1" s="14"/>
      <c r="F1" s="14"/>
      <c r="G1" s="14"/>
      <c r="H1" s="35">
        <f>Basisinstellingen!C5</f>
        <v>2026</v>
      </c>
    </row>
    <row r="2" spans="1:8" x14ac:dyDescent="0.3">
      <c r="A2" s="14"/>
      <c r="B2" s="14"/>
      <c r="C2" s="14"/>
      <c r="D2" s="14"/>
      <c r="E2" s="14"/>
      <c r="F2" s="14"/>
      <c r="G2" s="14"/>
      <c r="H2" s="14"/>
    </row>
    <row r="3" spans="1:8" x14ac:dyDescent="0.3">
      <c r="A3" s="14"/>
      <c r="B3" s="14"/>
      <c r="C3" s="14"/>
      <c r="D3" s="14"/>
      <c r="E3" s="14"/>
      <c r="F3" s="14"/>
      <c r="G3" s="14"/>
      <c r="H3" s="14"/>
    </row>
    <row r="5" spans="1:8" x14ac:dyDescent="0.3">
      <c r="B5" s="81" t="s">
        <v>66</v>
      </c>
      <c r="C5" s="81"/>
      <c r="D5" s="81" t="s">
        <v>4</v>
      </c>
      <c r="E5" s="81" t="s">
        <v>72</v>
      </c>
      <c r="F5" s="81" t="s">
        <v>8</v>
      </c>
      <c r="G5" s="81" t="s">
        <v>72</v>
      </c>
    </row>
    <row r="6" spans="1:8" x14ac:dyDescent="0.3">
      <c r="B6" s="78" t="s">
        <v>67</v>
      </c>
      <c r="C6" s="78" t="s">
        <v>118</v>
      </c>
      <c r="D6" s="139">
        <f>'BTW (maand)'!D6+'BTW (maand)'!D11+'BTW (maand)'!D16</f>
        <v>100</v>
      </c>
      <c r="E6" s="139">
        <f>'BTW (maand)'!E6+'BTW (maand)'!E11+'BTW (maand)'!E16</f>
        <v>21</v>
      </c>
      <c r="F6" s="139">
        <f>'BTW (maand)'!F6+'BTW (maand)'!F11+'BTW (maand)'!F16</f>
        <v>0</v>
      </c>
      <c r="G6" s="139">
        <f>'BTW (maand)'!G6+'BTW (maand)'!G11+'BTW (maand)'!G16</f>
        <v>0</v>
      </c>
    </row>
    <row r="7" spans="1:8" x14ac:dyDescent="0.3">
      <c r="B7" s="78"/>
      <c r="C7" s="78" t="s">
        <v>188</v>
      </c>
      <c r="D7" s="139">
        <f>'BTW (maand)'!D7+'BTW (maand)'!D12+'BTW (maand)'!D17</f>
        <v>0</v>
      </c>
      <c r="E7" s="139">
        <f>'BTW (maand)'!E7+'BTW (maand)'!E12+'BTW (maand)'!E17</f>
        <v>0</v>
      </c>
      <c r="F7" s="139">
        <f>'BTW (maand)'!F7+'BTW (maand)'!F12+'BTW (maand)'!F17</f>
        <v>0</v>
      </c>
      <c r="G7" s="139">
        <f>'BTW (maand)'!G7+'BTW (maand)'!G12+'BTW (maand)'!G17</f>
        <v>0</v>
      </c>
    </row>
    <row r="8" spans="1:8" x14ac:dyDescent="0.3">
      <c r="B8" s="78"/>
      <c r="C8" s="78" t="s">
        <v>117</v>
      </c>
      <c r="D8" s="139">
        <f>'BTW (maand)'!D8+'BTW (maand)'!D13+'BTW (maand)'!D18</f>
        <v>0</v>
      </c>
      <c r="E8" s="139">
        <f>'BTW (maand)'!E8+'BTW (maand)'!E13+'BTW (maand)'!E18</f>
        <v>0</v>
      </c>
      <c r="F8" s="139">
        <f>'BTW (maand)'!F8+'BTW (maand)'!F13+'BTW (maand)'!F18</f>
        <v>0</v>
      </c>
      <c r="G8" s="139">
        <f>'BTW (maand)'!G8+'BTW (maand)'!G13+'BTW (maand)'!G18</f>
        <v>0</v>
      </c>
    </row>
    <row r="9" spans="1:8" x14ac:dyDescent="0.3">
      <c r="D9" s="144"/>
      <c r="E9" s="144"/>
      <c r="F9" s="144"/>
      <c r="G9" s="144"/>
    </row>
    <row r="10" spans="1:8" x14ac:dyDescent="0.3">
      <c r="B10" s="81" t="s">
        <v>66</v>
      </c>
      <c r="C10" s="81"/>
      <c r="D10" s="145" t="s">
        <v>4</v>
      </c>
      <c r="E10" s="145" t="s">
        <v>72</v>
      </c>
      <c r="F10" s="145" t="s">
        <v>8</v>
      </c>
      <c r="G10" s="145" t="s">
        <v>72</v>
      </c>
    </row>
    <row r="11" spans="1:8" x14ac:dyDescent="0.3">
      <c r="B11" s="78" t="s">
        <v>68</v>
      </c>
      <c r="C11" s="78" t="s">
        <v>118</v>
      </c>
      <c r="D11" s="139">
        <f>'BTW (maand)'!D21+'BTW (maand)'!D26+'BTW (maand)'!D31</f>
        <v>0</v>
      </c>
      <c r="E11" s="139">
        <f>'BTW (maand)'!E21+'BTW (maand)'!E26+'BTW (maand)'!E31</f>
        <v>0</v>
      </c>
      <c r="F11" s="139">
        <f>'BTW (maand)'!F21+'BTW (maand)'!F26+'BTW (maand)'!F31</f>
        <v>0</v>
      </c>
      <c r="G11" s="139">
        <f>'BTW (maand)'!G21+'BTW (maand)'!G26+'BTW (maand)'!G31</f>
        <v>0</v>
      </c>
    </row>
    <row r="12" spans="1:8" x14ac:dyDescent="0.3">
      <c r="B12" s="78"/>
      <c r="C12" s="78" t="s">
        <v>188</v>
      </c>
      <c r="D12" s="139">
        <f>'BTW (maand)'!D22+'BTW (maand)'!D27+'BTW (maand)'!D32</f>
        <v>0</v>
      </c>
      <c r="E12" s="139">
        <f>'BTW (maand)'!E22+'BTW (maand)'!E27+'BTW (maand)'!E32</f>
        <v>0</v>
      </c>
      <c r="F12" s="139">
        <f>'BTW (maand)'!F22+'BTW (maand)'!F27+'BTW (maand)'!F32</f>
        <v>0</v>
      </c>
      <c r="G12" s="139">
        <f>'BTW (maand)'!G22+'BTW (maand)'!G27+'BTW (maand)'!G32</f>
        <v>0</v>
      </c>
    </row>
    <row r="13" spans="1:8" x14ac:dyDescent="0.3">
      <c r="B13" s="78"/>
      <c r="C13" s="78" t="s">
        <v>117</v>
      </c>
      <c r="D13" s="139">
        <f>'BTW (maand)'!D23+'BTW (maand)'!D28+'BTW (maand)'!D33</f>
        <v>0</v>
      </c>
      <c r="E13" s="139">
        <f>'BTW (maand)'!E23+'BTW (maand)'!E28+'BTW (maand)'!E33</f>
        <v>0</v>
      </c>
      <c r="F13" s="139">
        <f>'BTW (maand)'!F23+'BTW (maand)'!F28+'BTW (maand)'!F33</f>
        <v>0</v>
      </c>
      <c r="G13" s="139">
        <f>'BTW (maand)'!G23+'BTW (maand)'!G28+'BTW (maand)'!G33</f>
        <v>0</v>
      </c>
    </row>
    <row r="14" spans="1:8" x14ac:dyDescent="0.3">
      <c r="C14" s="7"/>
      <c r="D14" s="144"/>
      <c r="E14" s="144"/>
      <c r="F14" s="144"/>
      <c r="G14" s="141"/>
    </row>
    <row r="15" spans="1:8" x14ac:dyDescent="0.3">
      <c r="B15" s="81" t="s">
        <v>66</v>
      </c>
      <c r="C15" s="81"/>
      <c r="D15" s="145" t="s">
        <v>4</v>
      </c>
      <c r="E15" s="145" t="s">
        <v>72</v>
      </c>
      <c r="F15" s="145" t="s">
        <v>8</v>
      </c>
      <c r="G15" s="145" t="s">
        <v>72</v>
      </c>
    </row>
    <row r="16" spans="1:8" x14ac:dyDescent="0.3">
      <c r="B16" s="78" t="s">
        <v>69</v>
      </c>
      <c r="C16" s="78" t="s">
        <v>118</v>
      </c>
      <c r="D16" s="139">
        <f>'BTW (maand)'!D36+'BTW (maand)'!D41+'BTW (maand)'!D46</f>
        <v>0</v>
      </c>
      <c r="E16" s="139">
        <f>'BTW (maand)'!E36+'BTW (maand)'!E41+'BTW (maand)'!E46</f>
        <v>0</v>
      </c>
      <c r="F16" s="139">
        <f>'BTW (maand)'!F36+'BTW (maand)'!F41+'BTW (maand)'!F46</f>
        <v>0</v>
      </c>
      <c r="G16" s="139">
        <f>'BTW (maand)'!G36+'BTW (maand)'!G41+'BTW (maand)'!G46</f>
        <v>0</v>
      </c>
    </row>
    <row r="17" spans="2:8" x14ac:dyDescent="0.3">
      <c r="B17" s="79"/>
      <c r="C17" s="79" t="s">
        <v>188</v>
      </c>
      <c r="D17" s="148">
        <f>'BTW (maand)'!D37+'BTW (maand)'!D42+'BTW (maand)'!D47</f>
        <v>0</v>
      </c>
      <c r="E17" s="148">
        <f>'BTW (maand)'!E37+'BTW (maand)'!E42+'BTW (maand)'!E47</f>
        <v>0</v>
      </c>
      <c r="F17" s="148">
        <f>'BTW (maand)'!F37+'BTW (maand)'!F42+'BTW (maand)'!F47</f>
        <v>0</v>
      </c>
      <c r="G17" s="148">
        <f>'BTW (maand)'!G37+'BTW (maand)'!G42+'BTW (maand)'!G47</f>
        <v>0</v>
      </c>
    </row>
    <row r="18" spans="2:8" x14ac:dyDescent="0.3">
      <c r="B18" s="78"/>
      <c r="C18" s="78" t="s">
        <v>117</v>
      </c>
      <c r="D18" s="139">
        <f>'BTW (maand)'!D38+'BTW (maand)'!D43+'BTW (maand)'!D48</f>
        <v>0</v>
      </c>
      <c r="E18" s="139">
        <f>'BTW (maand)'!E38+'BTW (maand)'!E43+'BTW (maand)'!E48</f>
        <v>0</v>
      </c>
      <c r="F18" s="139">
        <f>'BTW (maand)'!F38+'BTW (maand)'!F43+'BTW (maand)'!F48</f>
        <v>0</v>
      </c>
      <c r="G18" s="139">
        <f>'BTW (maand)'!G38+'BTW (maand)'!G43+'BTW (maand)'!G48</f>
        <v>0</v>
      </c>
    </row>
    <row r="19" spans="2:8" x14ac:dyDescent="0.3">
      <c r="C19" s="7"/>
      <c r="D19" s="144"/>
      <c r="E19" s="144"/>
      <c r="F19" s="144"/>
      <c r="G19" s="141"/>
    </row>
    <row r="20" spans="2:8" x14ac:dyDescent="0.3">
      <c r="B20" s="81" t="s">
        <v>66</v>
      </c>
      <c r="C20" s="81"/>
      <c r="D20" s="145" t="s">
        <v>4</v>
      </c>
      <c r="E20" s="145" t="s">
        <v>72</v>
      </c>
      <c r="F20" s="145" t="s">
        <v>8</v>
      </c>
      <c r="G20" s="145" t="s">
        <v>72</v>
      </c>
    </row>
    <row r="21" spans="2:8" x14ac:dyDescent="0.3">
      <c r="B21" s="78" t="s">
        <v>70</v>
      </c>
      <c r="C21" s="78" t="s">
        <v>118</v>
      </c>
      <c r="D21" s="139">
        <f>'BTW (maand)'!D51+'BTW (maand)'!D56+'BTW (maand)'!D61</f>
        <v>0</v>
      </c>
      <c r="E21" s="139">
        <f>'BTW (maand)'!E51+'BTW (maand)'!E56+'BTW (maand)'!E61</f>
        <v>0</v>
      </c>
      <c r="F21" s="139">
        <f>'BTW (maand)'!F51+'BTW (maand)'!F56+'BTW (maand)'!F61</f>
        <v>0</v>
      </c>
      <c r="G21" s="139">
        <f>'BTW (maand)'!G51+'BTW (maand)'!G56+'BTW (maand)'!G61</f>
        <v>0</v>
      </c>
    </row>
    <row r="22" spans="2:8" x14ac:dyDescent="0.3">
      <c r="B22" s="78"/>
      <c r="C22" s="78" t="s">
        <v>188</v>
      </c>
      <c r="D22" s="139">
        <f>'BTW (maand)'!D52+'BTW (maand)'!D57+'BTW (maand)'!D62</f>
        <v>0</v>
      </c>
      <c r="E22" s="139">
        <f>'BTW (maand)'!E52+'BTW (maand)'!E57+'BTW (maand)'!E62</f>
        <v>0</v>
      </c>
      <c r="F22" s="139">
        <f>'BTW (maand)'!F52+'BTW (maand)'!F57+'BTW (maand)'!F62</f>
        <v>0</v>
      </c>
      <c r="G22" s="139">
        <f>'BTW (maand)'!G52+'BTW (maand)'!G57+'BTW (maand)'!G62</f>
        <v>0</v>
      </c>
    </row>
    <row r="23" spans="2:8" x14ac:dyDescent="0.3">
      <c r="B23" s="78"/>
      <c r="C23" s="78" t="s">
        <v>117</v>
      </c>
      <c r="D23" s="139">
        <f>'BTW (maand)'!D53+'BTW (maand)'!D58+'BTW (maand)'!D63</f>
        <v>0</v>
      </c>
      <c r="E23" s="139">
        <f>'BTW (maand)'!E53+'BTW (maand)'!E58+'BTW (maand)'!E63</f>
        <v>0</v>
      </c>
      <c r="F23" s="139">
        <f>'BTW (maand)'!F53+'BTW (maand)'!F58+'BTW (maand)'!F63</f>
        <v>0</v>
      </c>
      <c r="G23" s="139">
        <f>'BTW (maand)'!G53+'BTW (maand)'!G58+'BTW (maand)'!G63</f>
        <v>0</v>
      </c>
    </row>
    <row r="24" spans="2:8" x14ac:dyDescent="0.3">
      <c r="D24" s="7"/>
      <c r="E24" s="7"/>
      <c r="F24" s="7"/>
      <c r="G24" s="7"/>
    </row>
    <row r="29" spans="2:8" x14ac:dyDescent="0.3">
      <c r="H29" s="7"/>
    </row>
  </sheetData>
  <sheetProtection sheet="1" selectLockedCells="1"/>
  <phoneticPr fontId="32" type="noConversion"/>
  <pageMargins left="0.7" right="0.7" top="0.75" bottom="0.75" header="0.3" footer="0.3"/>
  <pageSetup paperSize="9" orientation="portrait" horizontalDpi="4294967295" verticalDpi="4294967295" r:id="rId1"/>
  <headerFooter>
    <oddFooter>&amp;C_x000D_&amp;1#&amp;"Calibri"&amp;10&amp;K000000 Knab Internal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5"/>
  <dimension ref="A1:I255"/>
  <sheetViews>
    <sheetView showGridLines="0" showRowColHeaders="0" showZeros="0" workbookViewId="0">
      <selection activeCell="C16" sqref="C16"/>
    </sheetView>
  </sheetViews>
  <sheetFormatPr defaultColWidth="9" defaultRowHeight="13" x14ac:dyDescent="0.3"/>
  <cols>
    <col min="1" max="1" width="3.8984375" customWidth="1"/>
    <col min="2" max="2" width="6.09765625" style="1" customWidth="1"/>
    <col min="3" max="3" width="43.09765625" style="1" customWidth="1"/>
    <col min="4" max="4" width="28.09765625" style="1" customWidth="1"/>
    <col min="5" max="5" width="14.8984375" style="1" customWidth="1"/>
    <col min="6" max="6" width="22.09765625" style="1" customWidth="1"/>
    <col min="7" max="7" width="18.8984375" style="1" customWidth="1"/>
    <col min="8" max="8" width="28.09765625" style="1" customWidth="1"/>
    <col min="9" max="9" width="7" customWidth="1"/>
  </cols>
  <sheetData>
    <row r="1" spans="1:9" ht="23.5" x14ac:dyDescent="0.55000000000000004">
      <c r="A1" s="14"/>
      <c r="B1" s="19" t="s">
        <v>83</v>
      </c>
      <c r="C1" s="18"/>
      <c r="D1" s="18"/>
      <c r="E1" s="18"/>
      <c r="F1" s="18"/>
      <c r="G1" s="18"/>
      <c r="H1" s="35">
        <f>Basisinstellingen!C5</f>
        <v>2026</v>
      </c>
    </row>
    <row r="2" spans="1:9" x14ac:dyDescent="0.3">
      <c r="A2" s="14"/>
      <c r="B2" s="24" t="s">
        <v>185</v>
      </c>
      <c r="C2" s="18"/>
      <c r="D2" s="18"/>
      <c r="E2" s="18"/>
      <c r="F2" s="18"/>
      <c r="G2" s="18"/>
      <c r="H2" s="18"/>
    </row>
    <row r="3" spans="1:9" x14ac:dyDescent="0.3">
      <c r="A3" s="14"/>
      <c r="B3" s="18"/>
      <c r="C3" s="18"/>
      <c r="D3" s="18"/>
      <c r="E3" s="18"/>
      <c r="F3" s="18"/>
      <c r="G3" s="18"/>
      <c r="H3" s="18"/>
    </row>
    <row r="5" spans="1:9" s="5" customFormat="1" x14ac:dyDescent="0.3">
      <c r="B5" s="86" t="s">
        <v>87</v>
      </c>
      <c r="C5" s="86" t="s">
        <v>86</v>
      </c>
      <c r="D5" s="86" t="s">
        <v>7</v>
      </c>
      <c r="E5" s="86" t="s">
        <v>5</v>
      </c>
      <c r="F5" s="86" t="s">
        <v>6</v>
      </c>
      <c r="G5" s="86" t="s">
        <v>9</v>
      </c>
      <c r="H5" s="86" t="s">
        <v>18</v>
      </c>
    </row>
    <row r="6" spans="1:9" x14ac:dyDescent="0.3">
      <c r="B6" s="75">
        <v>1</v>
      </c>
      <c r="C6" s="75" t="s">
        <v>201</v>
      </c>
      <c r="D6" s="75" t="s">
        <v>202</v>
      </c>
      <c r="E6" s="75" t="s">
        <v>203</v>
      </c>
      <c r="F6" s="75" t="s">
        <v>204</v>
      </c>
      <c r="G6" s="92" t="s">
        <v>205</v>
      </c>
      <c r="H6" s="75" t="s">
        <v>206</v>
      </c>
      <c r="I6" s="6"/>
    </row>
    <row r="7" spans="1:9" x14ac:dyDescent="0.3">
      <c r="B7" s="75">
        <v>2</v>
      </c>
      <c r="C7" s="75" t="s">
        <v>214</v>
      </c>
      <c r="D7" s="75" t="s">
        <v>215</v>
      </c>
      <c r="E7" s="75" t="s">
        <v>216</v>
      </c>
      <c r="F7" s="75" t="s">
        <v>217</v>
      </c>
      <c r="G7" s="92"/>
      <c r="H7" s="75" t="s">
        <v>218</v>
      </c>
      <c r="I7" s="6"/>
    </row>
    <row r="8" spans="1:9" x14ac:dyDescent="0.3">
      <c r="B8" s="75">
        <v>3</v>
      </c>
      <c r="C8" s="75" t="s">
        <v>219</v>
      </c>
      <c r="D8" s="75"/>
      <c r="E8" s="75"/>
      <c r="F8" s="75"/>
      <c r="G8" s="92"/>
      <c r="H8" s="75"/>
      <c r="I8" s="6"/>
    </row>
    <row r="9" spans="1:9" x14ac:dyDescent="0.3">
      <c r="B9" s="75">
        <v>4</v>
      </c>
      <c r="C9" s="75" t="s">
        <v>220</v>
      </c>
      <c r="D9" s="75"/>
      <c r="E9" s="75"/>
      <c r="F9" s="75"/>
      <c r="G9" s="92"/>
      <c r="H9" s="75"/>
      <c r="I9" s="6"/>
    </row>
    <row r="10" spans="1:9" x14ac:dyDescent="0.3">
      <c r="B10" s="75">
        <v>5</v>
      </c>
      <c r="C10" s="75" t="s">
        <v>221</v>
      </c>
      <c r="D10" s="75"/>
      <c r="E10" s="75"/>
      <c r="F10" s="75"/>
      <c r="G10" s="92"/>
      <c r="H10" s="75"/>
      <c r="I10" s="6"/>
    </row>
    <row r="11" spans="1:9" x14ac:dyDescent="0.3">
      <c r="B11" s="75">
        <v>6</v>
      </c>
      <c r="C11" s="75" t="s">
        <v>222</v>
      </c>
      <c r="D11" s="75"/>
      <c r="E11" s="75"/>
      <c r="F11" s="75"/>
      <c r="G11" s="92"/>
      <c r="H11" s="75"/>
      <c r="I11" s="6"/>
    </row>
    <row r="12" spans="1:9" x14ac:dyDescent="0.3">
      <c r="B12" s="75">
        <v>7</v>
      </c>
      <c r="C12" s="75" t="s">
        <v>223</v>
      </c>
      <c r="D12" s="75"/>
      <c r="E12" s="75"/>
      <c r="F12" s="75"/>
      <c r="G12" s="92"/>
      <c r="H12" s="75"/>
      <c r="I12" s="6"/>
    </row>
    <row r="13" spans="1:9" x14ac:dyDescent="0.3">
      <c r="B13" s="75">
        <v>8</v>
      </c>
      <c r="C13" s="75" t="s">
        <v>224</v>
      </c>
      <c r="D13" s="75"/>
      <c r="E13" s="75"/>
      <c r="F13" s="75"/>
      <c r="G13" s="92"/>
      <c r="H13" s="75"/>
      <c r="I13" s="6"/>
    </row>
    <row r="14" spans="1:9" x14ac:dyDescent="0.3">
      <c r="B14" s="75">
        <v>9</v>
      </c>
      <c r="C14" s="75" t="s">
        <v>243</v>
      </c>
      <c r="D14" s="75" t="s">
        <v>244</v>
      </c>
      <c r="E14" s="75" t="s">
        <v>245</v>
      </c>
      <c r="F14" s="75" t="s">
        <v>246</v>
      </c>
      <c r="G14" s="92" t="s">
        <v>247</v>
      </c>
      <c r="H14" s="75" t="s">
        <v>248</v>
      </c>
      <c r="I14" s="6"/>
    </row>
    <row r="15" spans="1:9" x14ac:dyDescent="0.3">
      <c r="B15" s="75">
        <v>10</v>
      </c>
      <c r="C15" s="75" t="s">
        <v>251</v>
      </c>
      <c r="D15" s="75" t="s">
        <v>252</v>
      </c>
      <c r="E15" s="75" t="s">
        <v>253</v>
      </c>
      <c r="F15" s="75" t="s">
        <v>254</v>
      </c>
      <c r="G15" s="92"/>
      <c r="H15" s="75" t="s">
        <v>255</v>
      </c>
      <c r="I15" s="6"/>
    </row>
    <row r="16" spans="1:9" x14ac:dyDescent="0.3">
      <c r="B16" s="75">
        <v>11</v>
      </c>
      <c r="C16" s="75" t="s">
        <v>264</v>
      </c>
      <c r="D16" s="75"/>
      <c r="E16" s="75"/>
      <c r="F16" s="75"/>
      <c r="G16" s="92"/>
      <c r="H16" s="75"/>
      <c r="I16" s="6"/>
    </row>
    <row r="17" spans="2:9" x14ac:dyDescent="0.3">
      <c r="B17" s="75">
        <v>12</v>
      </c>
      <c r="C17" s="75"/>
      <c r="D17" s="75"/>
      <c r="E17" s="75"/>
      <c r="F17" s="75"/>
      <c r="G17" s="92"/>
      <c r="H17" s="75"/>
      <c r="I17" s="6"/>
    </row>
    <row r="18" spans="2:9" x14ac:dyDescent="0.3">
      <c r="B18" s="75">
        <v>13</v>
      </c>
      <c r="C18" s="75"/>
      <c r="D18" s="75"/>
      <c r="E18" s="75"/>
      <c r="F18" s="75"/>
      <c r="G18" s="92"/>
      <c r="H18" s="75"/>
      <c r="I18" s="6"/>
    </row>
    <row r="19" spans="2:9" x14ac:dyDescent="0.3">
      <c r="B19" s="75">
        <v>14</v>
      </c>
      <c r="C19" s="75"/>
      <c r="D19" s="75"/>
      <c r="E19" s="75"/>
      <c r="F19" s="75"/>
      <c r="G19" s="92"/>
      <c r="H19" s="75"/>
      <c r="I19" s="6"/>
    </row>
    <row r="20" spans="2:9" x14ac:dyDescent="0.3">
      <c r="B20" s="75">
        <v>15</v>
      </c>
      <c r="C20" s="75"/>
      <c r="D20" s="75"/>
      <c r="E20" s="75"/>
      <c r="F20" s="75"/>
      <c r="G20" s="92"/>
      <c r="H20" s="75"/>
      <c r="I20" s="6"/>
    </row>
    <row r="21" spans="2:9" x14ac:dyDescent="0.3">
      <c r="B21" s="75">
        <v>16</v>
      </c>
      <c r="C21" s="75"/>
      <c r="D21" s="75"/>
      <c r="E21" s="75"/>
      <c r="F21" s="75"/>
      <c r="G21" s="92"/>
      <c r="H21" s="75"/>
      <c r="I21" s="6"/>
    </row>
    <row r="22" spans="2:9" x14ac:dyDescent="0.3">
      <c r="B22" s="75">
        <v>17</v>
      </c>
      <c r="C22" s="75"/>
      <c r="D22" s="75"/>
      <c r="E22" s="75"/>
      <c r="F22" s="75"/>
      <c r="G22" s="92"/>
      <c r="H22" s="75"/>
      <c r="I22" s="6"/>
    </row>
    <row r="23" spans="2:9" x14ac:dyDescent="0.3">
      <c r="B23" s="75">
        <v>18</v>
      </c>
      <c r="C23" s="75"/>
      <c r="D23" s="75"/>
      <c r="E23" s="75"/>
      <c r="F23" s="75"/>
      <c r="G23" s="92"/>
      <c r="H23" s="75"/>
      <c r="I23" s="6"/>
    </row>
    <row r="24" spans="2:9" x14ac:dyDescent="0.3">
      <c r="B24" s="75">
        <v>19</v>
      </c>
      <c r="C24" s="75"/>
      <c r="D24" s="75"/>
      <c r="E24" s="75"/>
      <c r="F24" s="75"/>
      <c r="G24" s="92"/>
      <c r="H24" s="75"/>
      <c r="I24" s="6"/>
    </row>
    <row r="25" spans="2:9" x14ac:dyDescent="0.3">
      <c r="B25" s="75">
        <v>20</v>
      </c>
      <c r="C25" s="75"/>
      <c r="D25" s="75"/>
      <c r="E25" s="75"/>
      <c r="F25" s="75"/>
      <c r="G25" s="92"/>
      <c r="H25" s="75"/>
      <c r="I25" s="6"/>
    </row>
    <row r="26" spans="2:9" x14ac:dyDescent="0.3">
      <c r="B26" s="75">
        <v>21</v>
      </c>
      <c r="C26" s="75"/>
      <c r="D26" s="75"/>
      <c r="E26" s="75"/>
      <c r="F26" s="75"/>
      <c r="G26" s="92"/>
      <c r="H26" s="75"/>
      <c r="I26" s="6"/>
    </row>
    <row r="27" spans="2:9" x14ac:dyDescent="0.3">
      <c r="B27" s="75">
        <v>22</v>
      </c>
      <c r="C27" s="75"/>
      <c r="D27" s="75"/>
      <c r="E27" s="75"/>
      <c r="F27" s="75"/>
      <c r="G27" s="92"/>
      <c r="H27" s="75"/>
      <c r="I27" s="6"/>
    </row>
    <row r="28" spans="2:9" x14ac:dyDescent="0.3">
      <c r="B28" s="75">
        <v>23</v>
      </c>
      <c r="C28" s="75"/>
      <c r="D28" s="75"/>
      <c r="E28" s="75"/>
      <c r="F28" s="75"/>
      <c r="G28" s="92"/>
      <c r="H28" s="75"/>
      <c r="I28" s="6"/>
    </row>
    <row r="29" spans="2:9" x14ac:dyDescent="0.3">
      <c r="B29" s="75">
        <v>24</v>
      </c>
      <c r="C29" s="75"/>
      <c r="D29" s="75"/>
      <c r="E29" s="75"/>
      <c r="F29" s="75"/>
      <c r="G29" s="92"/>
      <c r="H29" s="75"/>
      <c r="I29" s="6"/>
    </row>
    <row r="30" spans="2:9" x14ac:dyDescent="0.3">
      <c r="B30" s="75">
        <v>25</v>
      </c>
      <c r="C30" s="75"/>
      <c r="D30" s="75"/>
      <c r="E30" s="75"/>
      <c r="F30" s="75"/>
      <c r="G30" s="92"/>
      <c r="H30" s="75"/>
      <c r="I30" s="6"/>
    </row>
    <row r="31" spans="2:9" x14ac:dyDescent="0.3">
      <c r="B31" s="75">
        <v>26</v>
      </c>
      <c r="C31" s="75"/>
      <c r="D31" s="75"/>
      <c r="E31" s="75"/>
      <c r="F31" s="75"/>
      <c r="G31" s="92"/>
      <c r="H31" s="75"/>
      <c r="I31" s="6"/>
    </row>
    <row r="32" spans="2:9" x14ac:dyDescent="0.3">
      <c r="B32" s="75">
        <v>27</v>
      </c>
      <c r="C32" s="75"/>
      <c r="D32" s="75"/>
      <c r="E32" s="75"/>
      <c r="F32" s="75"/>
      <c r="G32" s="92"/>
      <c r="H32" s="75"/>
      <c r="I32" s="6"/>
    </row>
    <row r="33" spans="2:9" x14ac:dyDescent="0.3">
      <c r="B33" s="75">
        <v>28</v>
      </c>
      <c r="C33" s="75"/>
      <c r="D33" s="75"/>
      <c r="E33" s="75"/>
      <c r="F33" s="75"/>
      <c r="G33" s="92"/>
      <c r="H33" s="75"/>
      <c r="I33" s="6"/>
    </row>
    <row r="34" spans="2:9" x14ac:dyDescent="0.3">
      <c r="B34" s="75">
        <v>29</v>
      </c>
      <c r="C34" s="75"/>
      <c r="D34" s="75"/>
      <c r="E34" s="75"/>
      <c r="F34" s="75"/>
      <c r="G34" s="92"/>
      <c r="H34" s="75"/>
      <c r="I34" s="6"/>
    </row>
    <row r="35" spans="2:9" x14ac:dyDescent="0.3">
      <c r="B35" s="75">
        <v>30</v>
      </c>
      <c r="C35" s="75"/>
      <c r="D35" s="75"/>
      <c r="E35" s="75"/>
      <c r="F35" s="75"/>
      <c r="G35" s="92"/>
      <c r="H35" s="75"/>
      <c r="I35" s="6"/>
    </row>
    <row r="36" spans="2:9" x14ac:dyDescent="0.3">
      <c r="B36" s="75">
        <v>31</v>
      </c>
      <c r="C36" s="75"/>
      <c r="D36" s="75"/>
      <c r="E36" s="75"/>
      <c r="F36" s="75"/>
      <c r="G36" s="92"/>
      <c r="H36" s="75"/>
      <c r="I36" s="6"/>
    </row>
    <row r="37" spans="2:9" x14ac:dyDescent="0.3">
      <c r="B37" s="75">
        <v>32</v>
      </c>
      <c r="C37" s="75"/>
      <c r="D37" s="75"/>
      <c r="E37" s="75"/>
      <c r="F37" s="75"/>
      <c r="G37" s="92"/>
      <c r="H37" s="75"/>
      <c r="I37" s="6"/>
    </row>
    <row r="38" spans="2:9" x14ac:dyDescent="0.3">
      <c r="B38" s="75">
        <v>33</v>
      </c>
      <c r="C38" s="75"/>
      <c r="D38" s="75"/>
      <c r="E38" s="75"/>
      <c r="F38" s="75"/>
      <c r="G38" s="92"/>
      <c r="H38" s="75"/>
      <c r="I38" s="6"/>
    </row>
    <row r="39" spans="2:9" x14ac:dyDescent="0.3">
      <c r="B39" s="75">
        <v>34</v>
      </c>
      <c r="C39" s="75"/>
      <c r="D39" s="75"/>
      <c r="E39" s="75"/>
      <c r="F39" s="75"/>
      <c r="G39" s="92"/>
      <c r="H39" s="75"/>
      <c r="I39" s="6"/>
    </row>
    <row r="40" spans="2:9" x14ac:dyDescent="0.3">
      <c r="B40" s="75">
        <v>35</v>
      </c>
      <c r="C40" s="75"/>
      <c r="D40" s="75"/>
      <c r="E40" s="75"/>
      <c r="F40" s="75"/>
      <c r="G40" s="92"/>
      <c r="H40" s="75"/>
      <c r="I40" s="6"/>
    </row>
    <row r="41" spans="2:9" x14ac:dyDescent="0.3">
      <c r="B41" s="75">
        <v>36</v>
      </c>
      <c r="C41" s="75"/>
      <c r="D41" s="75"/>
      <c r="E41" s="75"/>
      <c r="F41" s="75"/>
      <c r="G41" s="92"/>
      <c r="H41" s="75"/>
      <c r="I41" s="6"/>
    </row>
    <row r="42" spans="2:9" x14ac:dyDescent="0.3">
      <c r="B42" s="75">
        <v>37</v>
      </c>
      <c r="C42" s="75"/>
      <c r="D42" s="75"/>
      <c r="E42" s="75"/>
      <c r="F42" s="75"/>
      <c r="G42" s="92"/>
      <c r="H42" s="75"/>
      <c r="I42" s="6"/>
    </row>
    <row r="43" spans="2:9" x14ac:dyDescent="0.3">
      <c r="B43" s="75">
        <v>38</v>
      </c>
      <c r="C43" s="75"/>
      <c r="D43" s="75"/>
      <c r="E43" s="75"/>
      <c r="F43" s="75"/>
      <c r="G43" s="92"/>
      <c r="H43" s="75"/>
      <c r="I43" s="6"/>
    </row>
    <row r="44" spans="2:9" x14ac:dyDescent="0.3">
      <c r="B44" s="75">
        <v>39</v>
      </c>
      <c r="C44" s="75"/>
      <c r="D44" s="75"/>
      <c r="E44" s="75"/>
      <c r="F44" s="75"/>
      <c r="G44" s="92"/>
      <c r="H44" s="75"/>
      <c r="I44" s="6"/>
    </row>
    <row r="45" spans="2:9" x14ac:dyDescent="0.3">
      <c r="B45" s="75">
        <v>40</v>
      </c>
      <c r="C45" s="75"/>
      <c r="D45" s="75"/>
      <c r="E45" s="75"/>
      <c r="F45" s="75"/>
      <c r="G45" s="92"/>
      <c r="H45" s="75"/>
      <c r="I45" s="6"/>
    </row>
    <row r="46" spans="2:9" x14ac:dyDescent="0.3">
      <c r="B46" s="75">
        <v>41</v>
      </c>
      <c r="C46" s="75"/>
      <c r="D46" s="75"/>
      <c r="E46" s="75"/>
      <c r="F46" s="75"/>
      <c r="G46" s="92"/>
      <c r="H46" s="75"/>
      <c r="I46" s="6"/>
    </row>
    <row r="47" spans="2:9" x14ac:dyDescent="0.3">
      <c r="B47" s="75">
        <v>42</v>
      </c>
      <c r="C47" s="75"/>
      <c r="D47" s="75"/>
      <c r="E47" s="75"/>
      <c r="F47" s="75"/>
      <c r="G47" s="92"/>
      <c r="H47" s="75"/>
      <c r="I47" s="6"/>
    </row>
    <row r="48" spans="2:9" x14ac:dyDescent="0.3">
      <c r="B48" s="75">
        <v>43</v>
      </c>
      <c r="C48" s="75"/>
      <c r="D48" s="75"/>
      <c r="E48" s="75"/>
      <c r="F48" s="75"/>
      <c r="G48" s="92"/>
      <c r="H48" s="75"/>
      <c r="I48" s="6"/>
    </row>
    <row r="49" spans="2:9" x14ac:dyDescent="0.3">
      <c r="B49" s="75">
        <v>44</v>
      </c>
      <c r="C49" s="75"/>
      <c r="D49" s="75"/>
      <c r="E49" s="75"/>
      <c r="F49" s="75"/>
      <c r="G49" s="92"/>
      <c r="H49" s="75"/>
      <c r="I49" s="6"/>
    </row>
    <row r="50" spans="2:9" x14ac:dyDescent="0.3">
      <c r="B50" s="75">
        <v>45</v>
      </c>
      <c r="C50" s="75"/>
      <c r="D50" s="75"/>
      <c r="E50" s="75"/>
      <c r="F50" s="75"/>
      <c r="G50" s="92"/>
      <c r="H50" s="75"/>
      <c r="I50" s="6"/>
    </row>
    <row r="51" spans="2:9" x14ac:dyDescent="0.3">
      <c r="B51" s="75">
        <v>46</v>
      </c>
      <c r="C51" s="75"/>
      <c r="D51" s="75"/>
      <c r="E51" s="75"/>
      <c r="F51" s="75"/>
      <c r="G51" s="92"/>
      <c r="H51" s="75"/>
      <c r="I51" s="6"/>
    </row>
    <row r="52" spans="2:9" x14ac:dyDescent="0.3">
      <c r="B52" s="75">
        <v>47</v>
      </c>
      <c r="C52" s="75"/>
      <c r="D52" s="75"/>
      <c r="E52" s="75"/>
      <c r="F52" s="75"/>
      <c r="G52" s="92"/>
      <c r="H52" s="75"/>
      <c r="I52" s="6"/>
    </row>
    <row r="53" spans="2:9" x14ac:dyDescent="0.3">
      <c r="B53" s="75">
        <v>48</v>
      </c>
      <c r="C53" s="75"/>
      <c r="D53" s="75"/>
      <c r="E53" s="75"/>
      <c r="F53" s="75"/>
      <c r="G53" s="92"/>
      <c r="H53" s="75"/>
      <c r="I53" s="6"/>
    </row>
    <row r="54" spans="2:9" x14ac:dyDescent="0.3">
      <c r="B54" s="75">
        <v>49</v>
      </c>
      <c r="C54" s="75"/>
      <c r="D54" s="75"/>
      <c r="E54" s="75"/>
      <c r="F54" s="75"/>
      <c r="G54" s="92"/>
      <c r="H54" s="75"/>
      <c r="I54" s="6"/>
    </row>
    <row r="55" spans="2:9" x14ac:dyDescent="0.3">
      <c r="B55" s="75">
        <v>50</v>
      </c>
      <c r="C55" s="75"/>
      <c r="D55" s="75"/>
      <c r="E55" s="75"/>
      <c r="F55" s="75"/>
      <c r="G55" s="92"/>
      <c r="H55" s="75"/>
      <c r="I55" s="6"/>
    </row>
    <row r="56" spans="2:9" x14ac:dyDescent="0.3">
      <c r="B56" s="75">
        <v>51</v>
      </c>
      <c r="C56" s="75"/>
      <c r="D56" s="75"/>
      <c r="E56" s="75"/>
      <c r="F56" s="75"/>
      <c r="G56" s="92"/>
      <c r="H56" s="75"/>
      <c r="I56" s="6"/>
    </row>
    <row r="57" spans="2:9" x14ac:dyDescent="0.3">
      <c r="B57" s="75">
        <v>52</v>
      </c>
      <c r="C57" s="76"/>
      <c r="D57" s="76"/>
      <c r="E57" s="76"/>
      <c r="F57" s="76"/>
      <c r="G57" s="93"/>
      <c r="H57" s="76"/>
      <c r="I57" s="6"/>
    </row>
    <row r="58" spans="2:9" x14ac:dyDescent="0.3">
      <c r="B58" s="75">
        <v>53</v>
      </c>
      <c r="C58" s="75"/>
      <c r="D58" s="75"/>
      <c r="E58" s="75"/>
      <c r="F58" s="75"/>
      <c r="G58" s="92"/>
      <c r="H58" s="75"/>
      <c r="I58" s="6"/>
    </row>
    <row r="59" spans="2:9" x14ac:dyDescent="0.3">
      <c r="B59" s="75">
        <v>54</v>
      </c>
      <c r="C59" s="75"/>
      <c r="D59" s="75"/>
      <c r="E59" s="75"/>
      <c r="F59" s="75"/>
      <c r="G59" s="92"/>
      <c r="H59" s="75"/>
      <c r="I59" s="6"/>
    </row>
    <row r="60" spans="2:9" x14ac:dyDescent="0.3">
      <c r="B60" s="75">
        <v>55</v>
      </c>
      <c r="C60" s="75"/>
      <c r="D60" s="75"/>
      <c r="E60" s="75"/>
      <c r="F60" s="75"/>
      <c r="G60" s="92"/>
      <c r="H60" s="75"/>
      <c r="I60" s="6"/>
    </row>
    <row r="61" spans="2:9" x14ac:dyDescent="0.3">
      <c r="B61" s="75">
        <v>56</v>
      </c>
      <c r="C61" s="75"/>
      <c r="D61" s="75"/>
      <c r="E61" s="75"/>
      <c r="F61" s="75"/>
      <c r="G61" s="92"/>
      <c r="H61" s="75"/>
      <c r="I61" s="6"/>
    </row>
    <row r="62" spans="2:9" x14ac:dyDescent="0.3">
      <c r="B62" s="75">
        <v>57</v>
      </c>
      <c r="C62" s="75"/>
      <c r="D62" s="75"/>
      <c r="E62" s="75"/>
      <c r="F62" s="75"/>
      <c r="G62" s="92"/>
      <c r="H62" s="75"/>
      <c r="I62" s="6"/>
    </row>
    <row r="63" spans="2:9" x14ac:dyDescent="0.3">
      <c r="B63" s="75">
        <v>58</v>
      </c>
      <c r="C63" s="75"/>
      <c r="D63" s="75"/>
      <c r="E63" s="75"/>
      <c r="F63" s="75"/>
      <c r="G63" s="92"/>
      <c r="H63" s="75"/>
      <c r="I63" s="6"/>
    </row>
    <row r="64" spans="2:9" x14ac:dyDescent="0.3">
      <c r="B64" s="75">
        <v>59</v>
      </c>
      <c r="C64" s="75"/>
      <c r="D64" s="75"/>
      <c r="E64" s="75"/>
      <c r="F64" s="75"/>
      <c r="G64" s="92"/>
      <c r="H64" s="75"/>
      <c r="I64" s="6"/>
    </row>
    <row r="65" spans="2:9" x14ac:dyDescent="0.3">
      <c r="B65" s="75">
        <v>60</v>
      </c>
      <c r="C65" s="75"/>
      <c r="D65" s="75"/>
      <c r="E65" s="75"/>
      <c r="F65" s="75"/>
      <c r="G65" s="92"/>
      <c r="H65" s="75"/>
      <c r="I65" s="6"/>
    </row>
    <row r="66" spans="2:9" x14ac:dyDescent="0.3">
      <c r="B66" s="75">
        <v>61</v>
      </c>
      <c r="C66" s="75"/>
      <c r="D66" s="75"/>
      <c r="E66" s="75"/>
      <c r="F66" s="75"/>
      <c r="G66" s="92"/>
      <c r="H66" s="75"/>
      <c r="I66" s="6"/>
    </row>
    <row r="67" spans="2:9" x14ac:dyDescent="0.3">
      <c r="B67" s="75">
        <v>62</v>
      </c>
      <c r="C67" s="75"/>
      <c r="D67" s="75"/>
      <c r="E67" s="75"/>
      <c r="F67" s="75"/>
      <c r="G67" s="92"/>
      <c r="H67" s="75"/>
      <c r="I67" s="6"/>
    </row>
    <row r="68" spans="2:9" x14ac:dyDescent="0.3">
      <c r="B68" s="75">
        <v>63</v>
      </c>
      <c r="C68" s="75"/>
      <c r="D68" s="75"/>
      <c r="E68" s="75"/>
      <c r="F68" s="75"/>
      <c r="G68" s="92"/>
      <c r="H68" s="75"/>
      <c r="I68" s="6"/>
    </row>
    <row r="69" spans="2:9" x14ac:dyDescent="0.3">
      <c r="B69" s="75">
        <v>64</v>
      </c>
      <c r="C69" s="75"/>
      <c r="D69" s="75"/>
      <c r="E69" s="75"/>
      <c r="F69" s="75"/>
      <c r="G69" s="92"/>
      <c r="H69" s="75"/>
      <c r="I69" s="6"/>
    </row>
    <row r="70" spans="2:9" x14ac:dyDescent="0.3">
      <c r="B70" s="75">
        <v>65</v>
      </c>
      <c r="C70" s="75"/>
      <c r="D70" s="75"/>
      <c r="E70" s="75"/>
      <c r="F70" s="75"/>
      <c r="G70" s="92"/>
      <c r="H70" s="75"/>
      <c r="I70" s="6"/>
    </row>
    <row r="71" spans="2:9" x14ac:dyDescent="0.3">
      <c r="B71" s="75">
        <v>66</v>
      </c>
      <c r="C71" s="75"/>
      <c r="D71" s="75"/>
      <c r="E71" s="75"/>
      <c r="F71" s="75"/>
      <c r="G71" s="92"/>
      <c r="H71" s="75"/>
      <c r="I71" s="6"/>
    </row>
    <row r="72" spans="2:9" x14ac:dyDescent="0.3">
      <c r="B72" s="75">
        <v>67</v>
      </c>
      <c r="C72" s="75"/>
      <c r="D72" s="75"/>
      <c r="E72" s="75"/>
      <c r="F72" s="75"/>
      <c r="G72" s="92"/>
      <c r="H72" s="75"/>
      <c r="I72" s="6"/>
    </row>
    <row r="73" spans="2:9" x14ac:dyDescent="0.3">
      <c r="B73" s="75">
        <v>68</v>
      </c>
      <c r="C73" s="75"/>
      <c r="D73" s="75"/>
      <c r="E73" s="75"/>
      <c r="F73" s="75"/>
      <c r="G73" s="92"/>
      <c r="H73" s="75"/>
      <c r="I73" s="6"/>
    </row>
    <row r="74" spans="2:9" x14ac:dyDescent="0.3">
      <c r="B74" s="75">
        <v>69</v>
      </c>
      <c r="C74" s="75"/>
      <c r="D74" s="75"/>
      <c r="E74" s="75"/>
      <c r="F74" s="75"/>
      <c r="G74" s="92"/>
      <c r="H74" s="75"/>
      <c r="I74" s="6"/>
    </row>
    <row r="75" spans="2:9" x14ac:dyDescent="0.3">
      <c r="B75" s="75">
        <v>70</v>
      </c>
      <c r="C75" s="75"/>
      <c r="D75" s="75"/>
      <c r="E75" s="75"/>
      <c r="F75" s="75"/>
      <c r="G75" s="92"/>
      <c r="H75" s="75"/>
      <c r="I75" s="6"/>
    </row>
    <row r="76" spans="2:9" x14ac:dyDescent="0.3">
      <c r="B76" s="75">
        <v>71</v>
      </c>
      <c r="C76" s="75"/>
      <c r="D76" s="75"/>
      <c r="E76" s="75"/>
      <c r="F76" s="75"/>
      <c r="G76" s="92"/>
      <c r="H76" s="75"/>
      <c r="I76" s="6"/>
    </row>
    <row r="77" spans="2:9" x14ac:dyDescent="0.3">
      <c r="B77" s="75">
        <v>72</v>
      </c>
      <c r="C77" s="75"/>
      <c r="D77" s="75"/>
      <c r="E77" s="75"/>
      <c r="F77" s="75"/>
      <c r="G77" s="92"/>
      <c r="H77" s="75"/>
      <c r="I77" s="6"/>
    </row>
    <row r="78" spans="2:9" x14ac:dyDescent="0.3">
      <c r="B78" s="75">
        <v>73</v>
      </c>
      <c r="C78" s="75"/>
      <c r="D78" s="75"/>
      <c r="E78" s="75"/>
      <c r="F78" s="75"/>
      <c r="G78" s="92"/>
      <c r="H78" s="75"/>
      <c r="I78" s="6"/>
    </row>
    <row r="79" spans="2:9" x14ac:dyDescent="0.3">
      <c r="B79" s="75">
        <v>74</v>
      </c>
      <c r="C79" s="75"/>
      <c r="D79" s="75"/>
      <c r="E79" s="75"/>
      <c r="F79" s="75"/>
      <c r="G79" s="92"/>
      <c r="H79" s="75"/>
      <c r="I79" s="6"/>
    </row>
    <row r="80" spans="2:9" x14ac:dyDescent="0.3">
      <c r="B80" s="75">
        <v>75</v>
      </c>
      <c r="C80" s="75"/>
      <c r="D80" s="75"/>
      <c r="E80" s="75"/>
      <c r="F80" s="75"/>
      <c r="G80" s="92"/>
      <c r="H80" s="75"/>
      <c r="I80" s="6"/>
    </row>
    <row r="81" spans="2:9" x14ac:dyDescent="0.3">
      <c r="B81" s="75">
        <v>76</v>
      </c>
      <c r="C81" s="75"/>
      <c r="D81" s="75"/>
      <c r="E81" s="75"/>
      <c r="F81" s="75"/>
      <c r="G81" s="92"/>
      <c r="H81" s="75"/>
      <c r="I81" s="6"/>
    </row>
    <row r="82" spans="2:9" x14ac:dyDescent="0.3">
      <c r="B82" s="75">
        <v>77</v>
      </c>
      <c r="C82" s="75"/>
      <c r="D82" s="75"/>
      <c r="E82" s="75"/>
      <c r="F82" s="75"/>
      <c r="G82" s="92"/>
      <c r="H82" s="75"/>
      <c r="I82" s="6"/>
    </row>
    <row r="83" spans="2:9" x14ac:dyDescent="0.3">
      <c r="B83" s="75">
        <v>78</v>
      </c>
      <c r="C83" s="75"/>
      <c r="D83" s="75"/>
      <c r="E83" s="75"/>
      <c r="F83" s="75"/>
      <c r="G83" s="92"/>
      <c r="H83" s="75"/>
      <c r="I83" s="6"/>
    </row>
    <row r="84" spans="2:9" x14ac:dyDescent="0.3">
      <c r="B84" s="75">
        <v>79</v>
      </c>
      <c r="C84" s="75"/>
      <c r="D84" s="75"/>
      <c r="E84" s="75"/>
      <c r="F84" s="75"/>
      <c r="G84" s="92"/>
      <c r="H84" s="75"/>
      <c r="I84" s="6"/>
    </row>
    <row r="85" spans="2:9" x14ac:dyDescent="0.3">
      <c r="B85" s="75">
        <v>80</v>
      </c>
      <c r="C85" s="75"/>
      <c r="D85" s="75"/>
      <c r="E85" s="75"/>
      <c r="F85" s="75"/>
      <c r="G85" s="92"/>
      <c r="H85" s="75"/>
      <c r="I85" s="6"/>
    </row>
    <row r="86" spans="2:9" x14ac:dyDescent="0.3">
      <c r="B86" s="75">
        <v>81</v>
      </c>
      <c r="C86" s="75"/>
      <c r="D86" s="75"/>
      <c r="E86" s="75"/>
      <c r="F86" s="75"/>
      <c r="G86" s="92"/>
      <c r="H86" s="75"/>
    </row>
    <row r="87" spans="2:9" x14ac:dyDescent="0.3">
      <c r="B87" s="75">
        <v>82</v>
      </c>
      <c r="C87" s="75"/>
      <c r="D87" s="75"/>
      <c r="E87" s="75"/>
      <c r="F87" s="75"/>
      <c r="G87" s="92"/>
      <c r="H87" s="75"/>
    </row>
    <row r="88" spans="2:9" x14ac:dyDescent="0.3">
      <c r="B88" s="75">
        <v>83</v>
      </c>
      <c r="C88" s="75"/>
      <c r="D88" s="75"/>
      <c r="E88" s="75"/>
      <c r="F88" s="75"/>
      <c r="G88" s="92"/>
      <c r="H88" s="75"/>
    </row>
    <row r="89" spans="2:9" x14ac:dyDescent="0.3">
      <c r="B89" s="75">
        <v>84</v>
      </c>
      <c r="C89" s="75"/>
      <c r="D89" s="75"/>
      <c r="E89" s="75"/>
      <c r="F89" s="75"/>
      <c r="G89" s="92"/>
      <c r="H89" s="75"/>
    </row>
    <row r="90" spans="2:9" x14ac:dyDescent="0.3">
      <c r="B90" s="75">
        <v>85</v>
      </c>
      <c r="C90" s="75"/>
      <c r="D90" s="75"/>
      <c r="E90" s="75"/>
      <c r="F90" s="75"/>
      <c r="G90" s="92"/>
      <c r="H90" s="75"/>
    </row>
    <row r="91" spans="2:9" x14ac:dyDescent="0.3">
      <c r="B91" s="75">
        <v>86</v>
      </c>
      <c r="C91" s="75"/>
      <c r="D91" s="75"/>
      <c r="E91" s="75"/>
      <c r="F91" s="75"/>
      <c r="G91" s="92"/>
      <c r="H91" s="75"/>
    </row>
    <row r="92" spans="2:9" x14ac:dyDescent="0.3">
      <c r="B92" s="75">
        <v>87</v>
      </c>
      <c r="C92" s="75"/>
      <c r="D92" s="75"/>
      <c r="E92" s="75"/>
      <c r="F92" s="75"/>
      <c r="G92" s="92"/>
      <c r="H92" s="75"/>
    </row>
    <row r="93" spans="2:9" x14ac:dyDescent="0.3">
      <c r="B93" s="75">
        <v>88</v>
      </c>
      <c r="C93" s="75"/>
      <c r="D93" s="75"/>
      <c r="E93" s="75"/>
      <c r="F93" s="75"/>
      <c r="G93" s="92"/>
      <c r="H93" s="75"/>
    </row>
    <row r="94" spans="2:9" x14ac:dyDescent="0.3">
      <c r="B94" s="75">
        <v>89</v>
      </c>
      <c r="C94" s="75"/>
      <c r="D94" s="75"/>
      <c r="E94" s="75"/>
      <c r="F94" s="75"/>
      <c r="G94" s="92"/>
      <c r="H94" s="75"/>
    </row>
    <row r="95" spans="2:9" x14ac:dyDescent="0.3">
      <c r="B95" s="75">
        <v>90</v>
      </c>
      <c r="C95" s="75"/>
      <c r="D95" s="75"/>
      <c r="E95" s="75"/>
      <c r="F95" s="75"/>
      <c r="G95" s="92"/>
      <c r="H95" s="75"/>
    </row>
    <row r="96" spans="2:9" x14ac:dyDescent="0.3">
      <c r="B96" s="75">
        <v>91</v>
      </c>
      <c r="C96" s="75"/>
      <c r="D96" s="75"/>
      <c r="E96" s="75"/>
      <c r="F96" s="75"/>
      <c r="G96" s="92"/>
      <c r="H96" s="75"/>
    </row>
    <row r="97" spans="2:8" x14ac:dyDescent="0.3">
      <c r="B97" s="75">
        <v>92</v>
      </c>
      <c r="C97" s="75"/>
      <c r="D97" s="75"/>
      <c r="E97" s="75"/>
      <c r="F97" s="75"/>
      <c r="G97" s="92"/>
      <c r="H97" s="75"/>
    </row>
    <row r="98" spans="2:8" x14ac:dyDescent="0.3">
      <c r="B98" s="75">
        <v>93</v>
      </c>
      <c r="C98" s="75"/>
      <c r="D98" s="75"/>
      <c r="E98" s="75"/>
      <c r="F98" s="75"/>
      <c r="G98" s="92"/>
      <c r="H98" s="75"/>
    </row>
    <row r="99" spans="2:8" x14ac:dyDescent="0.3">
      <c r="B99" s="75">
        <v>94</v>
      </c>
      <c r="C99" s="75"/>
      <c r="D99" s="75"/>
      <c r="E99" s="75"/>
      <c r="F99" s="75"/>
      <c r="G99" s="92"/>
      <c r="H99" s="75"/>
    </row>
    <row r="100" spans="2:8" x14ac:dyDescent="0.3">
      <c r="B100" s="75">
        <v>95</v>
      </c>
      <c r="C100" s="75"/>
      <c r="D100" s="75"/>
      <c r="E100" s="75"/>
      <c r="F100" s="75"/>
      <c r="G100" s="92"/>
      <c r="H100" s="75"/>
    </row>
    <row r="101" spans="2:8" x14ac:dyDescent="0.3">
      <c r="B101" s="75">
        <v>96</v>
      </c>
      <c r="C101" s="75"/>
      <c r="D101" s="75"/>
      <c r="E101" s="75"/>
      <c r="F101" s="75"/>
      <c r="G101" s="92"/>
      <c r="H101" s="75"/>
    </row>
    <row r="102" spans="2:8" x14ac:dyDescent="0.3">
      <c r="B102" s="75">
        <v>97</v>
      </c>
      <c r="C102" s="75"/>
      <c r="D102" s="75"/>
      <c r="E102" s="75"/>
      <c r="F102" s="75"/>
      <c r="G102" s="92"/>
      <c r="H102" s="75"/>
    </row>
    <row r="103" spans="2:8" x14ac:dyDescent="0.3">
      <c r="B103" s="75">
        <v>98</v>
      </c>
      <c r="C103" s="75"/>
      <c r="D103" s="75"/>
      <c r="E103" s="75"/>
      <c r="F103" s="75"/>
      <c r="G103" s="92"/>
      <c r="H103" s="75"/>
    </row>
    <row r="104" spans="2:8" x14ac:dyDescent="0.3">
      <c r="B104" s="75">
        <v>99</v>
      </c>
      <c r="C104" s="75"/>
      <c r="D104" s="75"/>
      <c r="E104" s="75"/>
      <c r="F104" s="75"/>
      <c r="G104" s="92"/>
      <c r="H104" s="75"/>
    </row>
    <row r="105" spans="2:8" x14ac:dyDescent="0.3">
      <c r="B105" s="75">
        <v>100</v>
      </c>
      <c r="C105" s="75"/>
      <c r="D105" s="75"/>
      <c r="E105" s="75"/>
      <c r="F105" s="75"/>
      <c r="G105" s="92"/>
      <c r="H105" s="75"/>
    </row>
    <row r="106" spans="2:8" x14ac:dyDescent="0.3">
      <c r="B106" s="75">
        <v>101</v>
      </c>
      <c r="C106" s="75"/>
      <c r="D106" s="75"/>
      <c r="E106" s="75"/>
      <c r="F106" s="75"/>
      <c r="G106" s="75"/>
      <c r="H106" s="75"/>
    </row>
    <row r="107" spans="2:8" x14ac:dyDescent="0.3">
      <c r="B107" s="75">
        <v>102</v>
      </c>
      <c r="C107" s="75"/>
      <c r="D107" s="75"/>
      <c r="E107" s="75"/>
      <c r="F107" s="75"/>
      <c r="G107" s="75"/>
      <c r="H107" s="75"/>
    </row>
    <row r="108" spans="2:8" x14ac:dyDescent="0.3">
      <c r="B108" s="75">
        <v>103</v>
      </c>
      <c r="C108" s="75"/>
      <c r="D108" s="75"/>
      <c r="E108" s="75"/>
      <c r="F108" s="75"/>
      <c r="G108" s="75"/>
      <c r="H108" s="75"/>
    </row>
    <row r="109" spans="2:8" x14ac:dyDescent="0.3">
      <c r="B109" s="75">
        <v>104</v>
      </c>
      <c r="C109" s="75"/>
      <c r="D109" s="75"/>
      <c r="E109" s="75"/>
      <c r="F109" s="75"/>
      <c r="G109" s="75"/>
      <c r="H109" s="75"/>
    </row>
    <row r="110" spans="2:8" x14ac:dyDescent="0.3">
      <c r="B110" s="75">
        <v>105</v>
      </c>
      <c r="C110" s="75"/>
      <c r="D110" s="75"/>
      <c r="E110" s="75"/>
      <c r="F110" s="75"/>
      <c r="G110" s="75"/>
      <c r="H110" s="75"/>
    </row>
    <row r="111" spans="2:8" x14ac:dyDescent="0.3">
      <c r="B111" s="75">
        <v>106</v>
      </c>
      <c r="C111" s="75"/>
      <c r="D111" s="75"/>
      <c r="E111" s="75"/>
      <c r="F111" s="75"/>
      <c r="G111" s="75"/>
      <c r="H111" s="75"/>
    </row>
    <row r="112" spans="2:8" x14ac:dyDescent="0.3">
      <c r="B112" s="75">
        <v>107</v>
      </c>
      <c r="C112" s="75"/>
      <c r="D112" s="75"/>
      <c r="E112" s="75"/>
      <c r="F112" s="75"/>
      <c r="G112" s="75"/>
      <c r="H112" s="75"/>
    </row>
    <row r="113" spans="2:8" x14ac:dyDescent="0.3">
      <c r="B113" s="75">
        <v>108</v>
      </c>
      <c r="C113" s="75"/>
      <c r="D113" s="75"/>
      <c r="E113" s="75"/>
      <c r="F113" s="75"/>
      <c r="G113" s="75"/>
      <c r="H113" s="75"/>
    </row>
    <row r="114" spans="2:8" x14ac:dyDescent="0.3">
      <c r="B114" s="75">
        <v>109</v>
      </c>
      <c r="C114" s="75"/>
      <c r="D114" s="75"/>
      <c r="E114" s="75"/>
      <c r="F114" s="75"/>
      <c r="G114" s="75"/>
      <c r="H114" s="75"/>
    </row>
    <row r="115" spans="2:8" x14ac:dyDescent="0.3">
      <c r="B115" s="75">
        <v>110</v>
      </c>
      <c r="C115" s="75"/>
      <c r="D115" s="75"/>
      <c r="E115" s="75"/>
      <c r="F115" s="75"/>
      <c r="G115" s="75"/>
      <c r="H115" s="75"/>
    </row>
    <row r="116" spans="2:8" x14ac:dyDescent="0.3">
      <c r="B116" s="75">
        <v>111</v>
      </c>
      <c r="C116" s="75"/>
      <c r="D116" s="75"/>
      <c r="E116" s="75"/>
      <c r="F116" s="75"/>
      <c r="G116" s="75"/>
      <c r="H116" s="75"/>
    </row>
    <row r="117" spans="2:8" x14ac:dyDescent="0.3">
      <c r="B117" s="75">
        <v>112</v>
      </c>
      <c r="C117" s="75"/>
      <c r="D117" s="75"/>
      <c r="E117" s="75"/>
      <c r="F117" s="75"/>
      <c r="G117" s="75"/>
      <c r="H117" s="75"/>
    </row>
    <row r="118" spans="2:8" x14ac:dyDescent="0.3">
      <c r="B118" s="75">
        <v>113</v>
      </c>
      <c r="C118" s="75"/>
      <c r="D118" s="75"/>
      <c r="E118" s="75"/>
      <c r="F118" s="75"/>
      <c r="G118" s="75"/>
      <c r="H118" s="75"/>
    </row>
    <row r="119" spans="2:8" x14ac:dyDescent="0.3">
      <c r="B119" s="75">
        <v>114</v>
      </c>
      <c r="C119" s="75"/>
      <c r="D119" s="75"/>
      <c r="E119" s="75"/>
      <c r="F119" s="75"/>
      <c r="G119" s="75"/>
      <c r="H119" s="75"/>
    </row>
    <row r="120" spans="2:8" x14ac:dyDescent="0.3">
      <c r="B120" s="75">
        <v>115</v>
      </c>
      <c r="C120" s="75"/>
      <c r="D120" s="75"/>
      <c r="E120" s="75"/>
      <c r="F120" s="75"/>
      <c r="G120" s="75"/>
      <c r="H120" s="75"/>
    </row>
    <row r="121" spans="2:8" x14ac:dyDescent="0.3">
      <c r="B121" s="75">
        <v>116</v>
      </c>
      <c r="C121" s="75"/>
      <c r="D121" s="75"/>
      <c r="E121" s="75"/>
      <c r="F121" s="75"/>
      <c r="G121" s="75"/>
      <c r="H121" s="75"/>
    </row>
    <row r="122" spans="2:8" x14ac:dyDescent="0.3">
      <c r="B122" s="75">
        <v>117</v>
      </c>
      <c r="C122" s="75"/>
      <c r="D122" s="75"/>
      <c r="E122" s="75"/>
      <c r="F122" s="75"/>
      <c r="G122" s="75"/>
      <c r="H122" s="75"/>
    </row>
    <row r="123" spans="2:8" x14ac:dyDescent="0.3">
      <c r="B123" s="75">
        <v>118</v>
      </c>
      <c r="C123" s="75"/>
      <c r="D123" s="75"/>
      <c r="E123" s="75"/>
      <c r="F123" s="75"/>
      <c r="G123" s="75"/>
      <c r="H123" s="75"/>
    </row>
    <row r="124" spans="2:8" x14ac:dyDescent="0.3">
      <c r="B124" s="75">
        <v>119</v>
      </c>
      <c r="C124" s="75"/>
      <c r="D124" s="75"/>
      <c r="E124" s="75"/>
      <c r="F124" s="75"/>
      <c r="G124" s="75"/>
      <c r="H124" s="75"/>
    </row>
    <row r="125" spans="2:8" x14ac:dyDescent="0.3">
      <c r="B125" s="75">
        <v>120</v>
      </c>
      <c r="C125" s="75"/>
      <c r="D125" s="75"/>
      <c r="E125" s="75"/>
      <c r="F125" s="75"/>
      <c r="G125" s="75"/>
      <c r="H125" s="75"/>
    </row>
    <row r="126" spans="2:8" x14ac:dyDescent="0.3">
      <c r="B126" s="75">
        <v>121</v>
      </c>
      <c r="C126" s="75"/>
      <c r="D126" s="75"/>
      <c r="E126" s="75"/>
      <c r="F126" s="75"/>
      <c r="G126" s="75"/>
      <c r="H126" s="75"/>
    </row>
    <row r="127" spans="2:8" x14ac:dyDescent="0.3">
      <c r="B127" s="75">
        <v>122</v>
      </c>
      <c r="C127" s="75"/>
      <c r="D127" s="75"/>
      <c r="E127" s="75"/>
      <c r="F127" s="75"/>
      <c r="G127" s="75"/>
      <c r="H127" s="75"/>
    </row>
    <row r="128" spans="2:8" x14ac:dyDescent="0.3">
      <c r="B128" s="75">
        <v>123</v>
      </c>
      <c r="C128" s="75"/>
      <c r="D128" s="75"/>
      <c r="E128" s="75"/>
      <c r="F128" s="75"/>
      <c r="G128" s="75"/>
      <c r="H128" s="75"/>
    </row>
    <row r="129" spans="2:8" x14ac:dyDescent="0.3">
      <c r="B129" s="75">
        <v>124</v>
      </c>
      <c r="C129" s="75"/>
      <c r="D129" s="75"/>
      <c r="E129" s="75"/>
      <c r="F129" s="75"/>
      <c r="G129" s="75"/>
      <c r="H129" s="75"/>
    </row>
    <row r="130" spans="2:8" x14ac:dyDescent="0.3">
      <c r="B130" s="75">
        <v>125</v>
      </c>
      <c r="C130" s="75"/>
      <c r="D130" s="75"/>
      <c r="E130" s="75"/>
      <c r="F130" s="75"/>
      <c r="G130" s="75"/>
      <c r="H130" s="75"/>
    </row>
    <row r="131" spans="2:8" x14ac:dyDescent="0.3">
      <c r="B131" s="75">
        <v>126</v>
      </c>
      <c r="C131" s="75"/>
      <c r="D131" s="75"/>
      <c r="E131" s="75"/>
      <c r="F131" s="75"/>
      <c r="G131" s="75"/>
      <c r="H131" s="75"/>
    </row>
    <row r="132" spans="2:8" x14ac:dyDescent="0.3">
      <c r="B132" s="75">
        <v>127</v>
      </c>
      <c r="C132" s="75"/>
      <c r="D132" s="75"/>
      <c r="E132" s="75"/>
      <c r="F132" s="75"/>
      <c r="G132" s="75"/>
      <c r="H132" s="75"/>
    </row>
    <row r="133" spans="2:8" x14ac:dyDescent="0.3">
      <c r="B133" s="75">
        <v>128</v>
      </c>
      <c r="C133" s="75"/>
      <c r="D133" s="75"/>
      <c r="E133" s="75"/>
      <c r="F133" s="75"/>
      <c r="G133" s="75"/>
      <c r="H133" s="75"/>
    </row>
    <row r="134" spans="2:8" x14ac:dyDescent="0.3">
      <c r="B134" s="75">
        <v>129</v>
      </c>
      <c r="C134" s="75"/>
      <c r="D134" s="75"/>
      <c r="E134" s="75"/>
      <c r="F134" s="75"/>
      <c r="G134" s="75"/>
      <c r="H134" s="75"/>
    </row>
    <row r="135" spans="2:8" x14ac:dyDescent="0.3">
      <c r="B135" s="75">
        <v>130</v>
      </c>
      <c r="C135" s="75"/>
      <c r="D135" s="75"/>
      <c r="E135" s="75"/>
      <c r="F135" s="75"/>
      <c r="G135" s="75"/>
      <c r="H135" s="75"/>
    </row>
    <row r="136" spans="2:8" x14ac:dyDescent="0.3">
      <c r="B136" s="75">
        <v>131</v>
      </c>
      <c r="C136" s="75"/>
      <c r="D136" s="75"/>
      <c r="E136" s="75"/>
      <c r="F136" s="75"/>
      <c r="G136" s="75"/>
      <c r="H136" s="75"/>
    </row>
    <row r="137" spans="2:8" x14ac:dyDescent="0.3">
      <c r="B137" s="75">
        <v>132</v>
      </c>
      <c r="C137" s="75"/>
      <c r="D137" s="75"/>
      <c r="E137" s="75"/>
      <c r="F137" s="75"/>
      <c r="G137" s="75"/>
      <c r="H137" s="75"/>
    </row>
    <row r="138" spans="2:8" x14ac:dyDescent="0.3">
      <c r="B138" s="75">
        <v>133</v>
      </c>
      <c r="C138" s="75"/>
      <c r="D138" s="75"/>
      <c r="E138" s="75"/>
      <c r="F138" s="75"/>
      <c r="G138" s="75"/>
      <c r="H138" s="75"/>
    </row>
    <row r="139" spans="2:8" x14ac:dyDescent="0.3">
      <c r="B139" s="75">
        <v>134</v>
      </c>
      <c r="C139" s="75"/>
      <c r="D139" s="75"/>
      <c r="E139" s="75"/>
      <c r="F139" s="75"/>
      <c r="G139" s="75"/>
      <c r="H139" s="75"/>
    </row>
    <row r="140" spans="2:8" x14ac:dyDescent="0.3">
      <c r="B140" s="75">
        <v>135</v>
      </c>
      <c r="C140" s="75"/>
      <c r="D140" s="75"/>
      <c r="E140" s="75"/>
      <c r="F140" s="75"/>
      <c r="G140" s="75"/>
      <c r="H140" s="75"/>
    </row>
    <row r="141" spans="2:8" x14ac:dyDescent="0.3">
      <c r="B141" s="75">
        <v>136</v>
      </c>
      <c r="C141" s="75"/>
      <c r="D141" s="75"/>
      <c r="E141" s="75"/>
      <c r="F141" s="75"/>
      <c r="G141" s="75"/>
      <c r="H141" s="75"/>
    </row>
    <row r="142" spans="2:8" x14ac:dyDescent="0.3">
      <c r="B142" s="75">
        <v>137</v>
      </c>
      <c r="C142" s="75"/>
      <c r="D142" s="75"/>
      <c r="E142" s="75"/>
      <c r="F142" s="75"/>
      <c r="G142" s="75"/>
      <c r="H142" s="75"/>
    </row>
    <row r="143" spans="2:8" x14ac:dyDescent="0.3">
      <c r="B143" s="75">
        <v>138</v>
      </c>
      <c r="C143" s="75"/>
      <c r="D143" s="75"/>
      <c r="E143" s="75"/>
      <c r="F143" s="75"/>
      <c r="G143" s="75"/>
      <c r="H143" s="75"/>
    </row>
    <row r="144" spans="2:8" x14ac:dyDescent="0.3">
      <c r="B144" s="75">
        <v>139</v>
      </c>
      <c r="C144" s="75"/>
      <c r="D144" s="75"/>
      <c r="E144" s="75"/>
      <c r="F144" s="75"/>
      <c r="G144" s="75"/>
      <c r="H144" s="75"/>
    </row>
    <row r="145" spans="2:8" x14ac:dyDescent="0.3">
      <c r="B145" s="75">
        <v>140</v>
      </c>
      <c r="C145" s="75"/>
      <c r="D145" s="75"/>
      <c r="E145" s="75"/>
      <c r="F145" s="75"/>
      <c r="G145" s="75"/>
      <c r="H145" s="75"/>
    </row>
    <row r="146" spans="2:8" x14ac:dyDescent="0.3">
      <c r="B146" s="75">
        <v>141</v>
      </c>
      <c r="C146" s="75"/>
      <c r="D146" s="75"/>
      <c r="E146" s="75"/>
      <c r="F146" s="75"/>
      <c r="G146" s="75"/>
      <c r="H146" s="75"/>
    </row>
    <row r="147" spans="2:8" x14ac:dyDescent="0.3">
      <c r="B147" s="75">
        <v>142</v>
      </c>
      <c r="C147" s="75"/>
      <c r="D147" s="75"/>
      <c r="E147" s="75"/>
      <c r="F147" s="75"/>
      <c r="G147" s="75"/>
      <c r="H147" s="75"/>
    </row>
    <row r="148" spans="2:8" x14ac:dyDescent="0.3">
      <c r="B148" s="75">
        <v>143</v>
      </c>
      <c r="C148" s="75"/>
      <c r="D148" s="75"/>
      <c r="E148" s="75"/>
      <c r="F148" s="75"/>
      <c r="G148" s="75"/>
      <c r="H148" s="75"/>
    </row>
    <row r="149" spans="2:8" x14ac:dyDescent="0.3">
      <c r="B149" s="75">
        <v>144</v>
      </c>
      <c r="C149" s="75"/>
      <c r="D149" s="75"/>
      <c r="E149" s="75"/>
      <c r="F149" s="75"/>
      <c r="G149" s="75"/>
      <c r="H149" s="75"/>
    </row>
    <row r="150" spans="2:8" x14ac:dyDescent="0.3">
      <c r="B150" s="75">
        <v>145</v>
      </c>
      <c r="C150" s="75"/>
      <c r="D150" s="75"/>
      <c r="E150" s="75"/>
      <c r="F150" s="75"/>
      <c r="G150" s="75"/>
      <c r="H150" s="75"/>
    </row>
    <row r="151" spans="2:8" x14ac:dyDescent="0.3">
      <c r="B151" s="75">
        <v>146</v>
      </c>
      <c r="C151" s="75"/>
      <c r="D151" s="75"/>
      <c r="E151" s="75"/>
      <c r="F151" s="75"/>
      <c r="G151" s="75"/>
      <c r="H151" s="75"/>
    </row>
    <row r="152" spans="2:8" x14ac:dyDescent="0.3">
      <c r="B152" s="75">
        <v>147</v>
      </c>
      <c r="C152" s="75"/>
      <c r="D152" s="75"/>
      <c r="E152" s="75"/>
      <c r="F152" s="75"/>
      <c r="G152" s="75"/>
      <c r="H152" s="75"/>
    </row>
    <row r="153" spans="2:8" x14ac:dyDescent="0.3">
      <c r="B153" s="75">
        <v>148</v>
      </c>
      <c r="C153" s="75"/>
      <c r="D153" s="75"/>
      <c r="E153" s="75"/>
      <c r="F153" s="75"/>
      <c r="G153" s="75"/>
      <c r="H153" s="75"/>
    </row>
    <row r="154" spans="2:8" x14ac:dyDescent="0.3">
      <c r="B154" s="75">
        <v>149</v>
      </c>
      <c r="C154" s="75"/>
      <c r="D154" s="75"/>
      <c r="E154" s="75"/>
      <c r="F154" s="75"/>
      <c r="G154" s="75"/>
      <c r="H154" s="75"/>
    </row>
    <row r="155" spans="2:8" x14ac:dyDescent="0.3">
      <c r="B155" s="75">
        <v>150</v>
      </c>
      <c r="C155" s="75"/>
      <c r="D155" s="75"/>
      <c r="E155" s="75"/>
      <c r="F155" s="75"/>
      <c r="G155" s="75"/>
      <c r="H155" s="75"/>
    </row>
    <row r="156" spans="2:8" x14ac:dyDescent="0.3">
      <c r="B156" s="75">
        <v>151</v>
      </c>
      <c r="C156" s="75"/>
      <c r="D156" s="75"/>
      <c r="E156" s="75"/>
      <c r="F156" s="75"/>
      <c r="G156" s="75"/>
      <c r="H156" s="75"/>
    </row>
    <row r="157" spans="2:8" x14ac:dyDescent="0.3">
      <c r="B157" s="75">
        <v>152</v>
      </c>
      <c r="C157" s="75"/>
      <c r="D157" s="75"/>
      <c r="E157" s="75"/>
      <c r="F157" s="75"/>
      <c r="G157" s="75"/>
      <c r="H157" s="75"/>
    </row>
    <row r="158" spans="2:8" x14ac:dyDescent="0.3">
      <c r="B158" s="75">
        <v>153</v>
      </c>
      <c r="C158" s="75"/>
      <c r="D158" s="75"/>
      <c r="E158" s="75"/>
      <c r="F158" s="75"/>
      <c r="G158" s="75"/>
      <c r="H158" s="75"/>
    </row>
    <row r="159" spans="2:8" x14ac:dyDescent="0.3">
      <c r="B159" s="75">
        <v>154</v>
      </c>
      <c r="C159" s="75"/>
      <c r="D159" s="75"/>
      <c r="E159" s="75"/>
      <c r="F159" s="75"/>
      <c r="G159" s="75"/>
      <c r="H159" s="75"/>
    </row>
    <row r="160" spans="2:8" x14ac:dyDescent="0.3">
      <c r="B160" s="75">
        <v>155</v>
      </c>
      <c r="C160" s="75"/>
      <c r="D160" s="75"/>
      <c r="E160" s="75"/>
      <c r="F160" s="75"/>
      <c r="G160" s="75"/>
      <c r="H160" s="75"/>
    </row>
    <row r="161" spans="2:8" x14ac:dyDescent="0.3">
      <c r="B161" s="75">
        <v>156</v>
      </c>
      <c r="C161" s="75"/>
      <c r="D161" s="75"/>
      <c r="E161" s="75"/>
      <c r="F161" s="75"/>
      <c r="G161" s="75"/>
      <c r="H161" s="75"/>
    </row>
    <row r="162" spans="2:8" x14ac:dyDescent="0.3">
      <c r="B162" s="75">
        <v>157</v>
      </c>
      <c r="C162" s="75"/>
      <c r="D162" s="75"/>
      <c r="E162" s="75"/>
      <c r="F162" s="75"/>
      <c r="G162" s="75"/>
      <c r="H162" s="75"/>
    </row>
    <row r="163" spans="2:8" x14ac:dyDescent="0.3">
      <c r="B163" s="75">
        <v>158</v>
      </c>
      <c r="C163" s="75"/>
      <c r="D163" s="75"/>
      <c r="E163" s="75"/>
      <c r="F163" s="75"/>
      <c r="G163" s="75"/>
      <c r="H163" s="75"/>
    </row>
    <row r="164" spans="2:8" x14ac:dyDescent="0.3">
      <c r="B164" s="75">
        <v>159</v>
      </c>
      <c r="C164" s="75"/>
      <c r="D164" s="75"/>
      <c r="E164" s="75"/>
      <c r="F164" s="75"/>
      <c r="G164" s="75"/>
      <c r="H164" s="75"/>
    </row>
    <row r="165" spans="2:8" x14ac:dyDescent="0.3">
      <c r="B165" s="75">
        <v>160</v>
      </c>
      <c r="C165" s="75"/>
      <c r="D165" s="75"/>
      <c r="E165" s="75"/>
      <c r="F165" s="75"/>
      <c r="G165" s="75"/>
      <c r="H165" s="75"/>
    </row>
    <row r="166" spans="2:8" x14ac:dyDescent="0.3">
      <c r="B166" s="75">
        <v>161</v>
      </c>
      <c r="C166" s="75"/>
      <c r="D166" s="75"/>
      <c r="E166" s="75"/>
      <c r="F166" s="75"/>
      <c r="G166" s="75"/>
      <c r="H166" s="75"/>
    </row>
    <row r="167" spans="2:8" x14ac:dyDescent="0.3">
      <c r="B167" s="75">
        <v>162</v>
      </c>
      <c r="C167" s="75"/>
      <c r="D167" s="75"/>
      <c r="E167" s="75"/>
      <c r="F167" s="75"/>
      <c r="G167" s="75"/>
      <c r="H167" s="75"/>
    </row>
    <row r="168" spans="2:8" x14ac:dyDescent="0.3">
      <c r="B168" s="75">
        <v>163</v>
      </c>
      <c r="C168" s="75"/>
      <c r="D168" s="75"/>
      <c r="E168" s="75"/>
      <c r="F168" s="75"/>
      <c r="G168" s="75"/>
      <c r="H168" s="75"/>
    </row>
    <row r="169" spans="2:8" x14ac:dyDescent="0.3">
      <c r="B169" s="75">
        <v>164</v>
      </c>
      <c r="C169" s="75"/>
      <c r="D169" s="75"/>
      <c r="E169" s="75"/>
      <c r="F169" s="75"/>
      <c r="G169" s="75"/>
      <c r="H169" s="75"/>
    </row>
    <row r="170" spans="2:8" x14ac:dyDescent="0.3">
      <c r="B170" s="75">
        <v>165</v>
      </c>
      <c r="C170" s="75"/>
      <c r="D170" s="75"/>
      <c r="E170" s="75"/>
      <c r="F170" s="75"/>
      <c r="G170" s="75"/>
      <c r="H170" s="75"/>
    </row>
    <row r="171" spans="2:8" x14ac:dyDescent="0.3">
      <c r="B171" s="75">
        <v>166</v>
      </c>
      <c r="C171" s="75"/>
      <c r="D171" s="75"/>
      <c r="E171" s="75"/>
      <c r="F171" s="75"/>
      <c r="G171" s="75"/>
      <c r="H171" s="75"/>
    </row>
    <row r="172" spans="2:8" x14ac:dyDescent="0.3">
      <c r="B172" s="75">
        <v>167</v>
      </c>
      <c r="C172" s="75"/>
      <c r="D172" s="75"/>
      <c r="E172" s="75"/>
      <c r="F172" s="75"/>
      <c r="G172" s="75"/>
      <c r="H172" s="75"/>
    </row>
    <row r="173" spans="2:8" x14ac:dyDescent="0.3">
      <c r="B173" s="75">
        <v>168</v>
      </c>
      <c r="C173" s="75"/>
      <c r="D173" s="75"/>
      <c r="E173" s="75"/>
      <c r="F173" s="75"/>
      <c r="G173" s="75"/>
      <c r="H173" s="75"/>
    </row>
    <row r="174" spans="2:8" x14ac:dyDescent="0.3">
      <c r="B174" s="75">
        <v>169</v>
      </c>
      <c r="C174" s="75"/>
      <c r="D174" s="75"/>
      <c r="E174" s="75"/>
      <c r="F174" s="75"/>
      <c r="G174" s="75"/>
      <c r="H174" s="75"/>
    </row>
    <row r="175" spans="2:8" x14ac:dyDescent="0.3">
      <c r="B175" s="75">
        <v>170</v>
      </c>
      <c r="C175" s="75"/>
      <c r="D175" s="75"/>
      <c r="E175" s="75"/>
      <c r="F175" s="75"/>
      <c r="G175" s="75"/>
      <c r="H175" s="75"/>
    </row>
    <row r="176" spans="2:8" x14ac:dyDescent="0.3">
      <c r="B176" s="75">
        <v>171</v>
      </c>
      <c r="C176" s="75"/>
      <c r="D176" s="75"/>
      <c r="E176" s="75"/>
      <c r="F176" s="75"/>
      <c r="G176" s="75"/>
      <c r="H176" s="75"/>
    </row>
    <row r="177" spans="2:8" x14ac:dyDescent="0.3">
      <c r="B177" s="75">
        <v>172</v>
      </c>
      <c r="C177" s="75"/>
      <c r="D177" s="75"/>
      <c r="E177" s="75"/>
      <c r="F177" s="75"/>
      <c r="G177" s="75"/>
      <c r="H177" s="75"/>
    </row>
    <row r="178" spans="2:8" x14ac:dyDescent="0.3">
      <c r="B178" s="75">
        <v>173</v>
      </c>
      <c r="C178" s="75"/>
      <c r="D178" s="75"/>
      <c r="E178" s="75"/>
      <c r="F178" s="75"/>
      <c r="G178" s="75"/>
      <c r="H178" s="75"/>
    </row>
    <row r="179" spans="2:8" x14ac:dyDescent="0.3">
      <c r="B179" s="75">
        <v>174</v>
      </c>
      <c r="C179" s="75"/>
      <c r="D179" s="75"/>
      <c r="E179" s="75"/>
      <c r="F179" s="75"/>
      <c r="G179" s="75"/>
      <c r="H179" s="75"/>
    </row>
    <row r="180" spans="2:8" x14ac:dyDescent="0.3">
      <c r="B180" s="75">
        <v>175</v>
      </c>
      <c r="C180" s="75"/>
      <c r="D180" s="75"/>
      <c r="E180" s="75"/>
      <c r="F180" s="75"/>
      <c r="G180" s="75"/>
      <c r="H180" s="75"/>
    </row>
    <row r="181" spans="2:8" x14ac:dyDescent="0.3">
      <c r="B181" s="75">
        <v>176</v>
      </c>
      <c r="C181" s="75"/>
      <c r="D181" s="75"/>
      <c r="E181" s="75"/>
      <c r="F181" s="75"/>
      <c r="G181" s="75"/>
      <c r="H181" s="75"/>
    </row>
    <row r="182" spans="2:8" x14ac:dyDescent="0.3">
      <c r="B182" s="75">
        <v>177</v>
      </c>
      <c r="C182" s="75"/>
      <c r="D182" s="75"/>
      <c r="E182" s="75"/>
      <c r="F182" s="75"/>
      <c r="G182" s="75"/>
      <c r="H182" s="75"/>
    </row>
    <row r="183" spans="2:8" x14ac:dyDescent="0.3">
      <c r="B183" s="75">
        <v>178</v>
      </c>
      <c r="C183" s="75"/>
      <c r="D183" s="75"/>
      <c r="E183" s="75"/>
      <c r="F183" s="75"/>
      <c r="G183" s="75"/>
      <c r="H183" s="75"/>
    </row>
    <row r="184" spans="2:8" x14ac:dyDescent="0.3">
      <c r="B184" s="75">
        <v>179</v>
      </c>
      <c r="C184" s="75"/>
      <c r="D184" s="75"/>
      <c r="E184" s="75"/>
      <c r="F184" s="75"/>
      <c r="G184" s="75"/>
      <c r="H184" s="75"/>
    </row>
    <row r="185" spans="2:8" x14ac:dyDescent="0.3">
      <c r="B185" s="75">
        <v>180</v>
      </c>
      <c r="C185" s="75"/>
      <c r="D185" s="75"/>
      <c r="E185" s="75"/>
      <c r="F185" s="75"/>
      <c r="G185" s="75"/>
      <c r="H185" s="75"/>
    </row>
    <row r="186" spans="2:8" x14ac:dyDescent="0.3">
      <c r="B186" s="75">
        <v>181</v>
      </c>
      <c r="C186" s="75"/>
      <c r="D186" s="75"/>
      <c r="E186" s="75"/>
      <c r="F186" s="75"/>
      <c r="G186" s="75"/>
      <c r="H186" s="75"/>
    </row>
    <row r="187" spans="2:8" x14ac:dyDescent="0.3">
      <c r="B187" s="75">
        <v>182</v>
      </c>
      <c r="C187" s="75"/>
      <c r="D187" s="75"/>
      <c r="E187" s="75"/>
      <c r="F187" s="75"/>
      <c r="G187" s="75"/>
      <c r="H187" s="75"/>
    </row>
    <row r="188" spans="2:8" x14ac:dyDescent="0.3">
      <c r="B188" s="75">
        <v>183</v>
      </c>
      <c r="C188" s="75"/>
      <c r="D188" s="75"/>
      <c r="E188" s="75"/>
      <c r="F188" s="75"/>
      <c r="G188" s="75"/>
      <c r="H188" s="75"/>
    </row>
    <row r="189" spans="2:8" x14ac:dyDescent="0.3">
      <c r="B189" s="75">
        <v>184</v>
      </c>
      <c r="C189" s="75"/>
      <c r="D189" s="75"/>
      <c r="E189" s="75"/>
      <c r="F189" s="75"/>
      <c r="G189" s="75"/>
      <c r="H189" s="75"/>
    </row>
    <row r="190" spans="2:8" x14ac:dyDescent="0.3">
      <c r="B190" s="75">
        <v>185</v>
      </c>
      <c r="C190" s="75"/>
      <c r="D190" s="75"/>
      <c r="E190" s="75"/>
      <c r="F190" s="75"/>
      <c r="G190" s="75"/>
      <c r="H190" s="75"/>
    </row>
    <row r="191" spans="2:8" x14ac:dyDescent="0.3">
      <c r="B191" s="75">
        <v>186</v>
      </c>
      <c r="C191" s="75"/>
      <c r="D191" s="75"/>
      <c r="E191" s="75"/>
      <c r="F191" s="75"/>
      <c r="G191" s="75"/>
      <c r="H191" s="75"/>
    </row>
    <row r="192" spans="2:8" x14ac:dyDescent="0.3">
      <c r="B192" s="75">
        <v>187</v>
      </c>
      <c r="C192" s="75"/>
      <c r="D192" s="75"/>
      <c r="E192" s="75"/>
      <c r="F192" s="75"/>
      <c r="G192" s="75"/>
      <c r="H192" s="75"/>
    </row>
    <row r="193" spans="2:8" x14ac:dyDescent="0.3">
      <c r="B193" s="75">
        <v>188</v>
      </c>
      <c r="C193" s="75"/>
      <c r="D193" s="75"/>
      <c r="E193" s="75"/>
      <c r="F193" s="75"/>
      <c r="G193" s="75"/>
      <c r="H193" s="75"/>
    </row>
    <row r="194" spans="2:8" x14ac:dyDescent="0.3">
      <c r="B194" s="75">
        <v>189</v>
      </c>
      <c r="C194" s="75"/>
      <c r="D194" s="75"/>
      <c r="E194" s="75"/>
      <c r="F194" s="75"/>
      <c r="G194" s="75"/>
      <c r="H194" s="75"/>
    </row>
    <row r="195" spans="2:8" x14ac:dyDescent="0.3">
      <c r="B195" s="75">
        <v>190</v>
      </c>
      <c r="C195" s="75"/>
      <c r="D195" s="75"/>
      <c r="E195" s="75"/>
      <c r="F195" s="75"/>
      <c r="G195" s="75"/>
      <c r="H195" s="75"/>
    </row>
    <row r="196" spans="2:8" x14ac:dyDescent="0.3">
      <c r="B196" s="75">
        <v>191</v>
      </c>
      <c r="C196" s="75"/>
      <c r="D196" s="75"/>
      <c r="E196" s="75"/>
      <c r="F196" s="75"/>
      <c r="G196" s="75"/>
      <c r="H196" s="75"/>
    </row>
    <row r="197" spans="2:8" x14ac:dyDescent="0.3">
      <c r="B197" s="75">
        <v>192</v>
      </c>
      <c r="C197" s="75"/>
      <c r="D197" s="75"/>
      <c r="E197" s="75"/>
      <c r="F197" s="75"/>
      <c r="G197" s="75"/>
      <c r="H197" s="75"/>
    </row>
    <row r="198" spans="2:8" x14ac:dyDescent="0.3">
      <c r="B198" s="75">
        <v>193</v>
      </c>
      <c r="C198" s="75"/>
      <c r="D198" s="75"/>
      <c r="E198" s="75"/>
      <c r="F198" s="75"/>
      <c r="G198" s="75"/>
      <c r="H198" s="75"/>
    </row>
    <row r="199" spans="2:8" x14ac:dyDescent="0.3">
      <c r="B199" s="75">
        <v>194</v>
      </c>
      <c r="C199" s="75"/>
      <c r="D199" s="75"/>
      <c r="E199" s="75"/>
      <c r="F199" s="75"/>
      <c r="G199" s="75"/>
      <c r="H199" s="75"/>
    </row>
    <row r="200" spans="2:8" x14ac:dyDescent="0.3">
      <c r="B200" s="75">
        <v>195</v>
      </c>
      <c r="C200" s="75"/>
      <c r="D200" s="75"/>
      <c r="E200" s="75"/>
      <c r="F200" s="75"/>
      <c r="G200" s="75"/>
      <c r="H200" s="75"/>
    </row>
    <row r="201" spans="2:8" x14ac:dyDescent="0.3">
      <c r="B201" s="75">
        <v>196</v>
      </c>
      <c r="C201" s="75"/>
      <c r="D201" s="75"/>
      <c r="E201" s="75"/>
      <c r="F201" s="75"/>
      <c r="G201" s="75"/>
      <c r="H201" s="75"/>
    </row>
    <row r="202" spans="2:8" x14ac:dyDescent="0.3">
      <c r="B202" s="75">
        <v>197</v>
      </c>
      <c r="C202" s="75"/>
      <c r="D202" s="75"/>
      <c r="E202" s="75"/>
      <c r="F202" s="75"/>
      <c r="G202" s="75"/>
      <c r="H202" s="75"/>
    </row>
    <row r="203" spans="2:8" x14ac:dyDescent="0.3">
      <c r="B203" s="75">
        <v>198</v>
      </c>
      <c r="C203" s="75"/>
      <c r="D203" s="75"/>
      <c r="E203" s="75"/>
      <c r="F203" s="75"/>
      <c r="G203" s="75"/>
      <c r="H203" s="75"/>
    </row>
    <row r="204" spans="2:8" x14ac:dyDescent="0.3">
      <c r="B204" s="75">
        <v>199</v>
      </c>
      <c r="C204" s="75"/>
      <c r="D204" s="75"/>
      <c r="E204" s="75"/>
      <c r="F204" s="75"/>
      <c r="G204" s="75"/>
      <c r="H204" s="75"/>
    </row>
    <row r="205" spans="2:8" x14ac:dyDescent="0.3">
      <c r="B205" s="75">
        <v>200</v>
      </c>
      <c r="C205" s="75"/>
      <c r="D205" s="75"/>
      <c r="E205" s="75"/>
      <c r="F205" s="75"/>
      <c r="G205" s="75"/>
      <c r="H205" s="75"/>
    </row>
    <row r="206" spans="2:8" x14ac:dyDescent="0.3">
      <c r="B206" s="75">
        <v>201</v>
      </c>
      <c r="C206" s="75"/>
      <c r="D206" s="75"/>
      <c r="E206" s="75"/>
      <c r="F206" s="75"/>
      <c r="G206" s="75"/>
      <c r="H206" s="75"/>
    </row>
    <row r="207" spans="2:8" x14ac:dyDescent="0.3">
      <c r="B207" s="75">
        <v>202</v>
      </c>
      <c r="C207" s="75"/>
      <c r="D207" s="75"/>
      <c r="E207" s="75"/>
      <c r="F207" s="75"/>
      <c r="G207" s="75"/>
      <c r="H207" s="75"/>
    </row>
    <row r="208" spans="2:8" x14ac:dyDescent="0.3">
      <c r="B208" s="75">
        <v>203</v>
      </c>
      <c r="C208" s="75"/>
      <c r="D208" s="75"/>
      <c r="E208" s="75"/>
      <c r="F208" s="75"/>
      <c r="G208" s="75"/>
      <c r="H208" s="75"/>
    </row>
    <row r="209" spans="2:8" x14ac:dyDescent="0.3">
      <c r="B209" s="75">
        <v>204</v>
      </c>
      <c r="C209" s="75"/>
      <c r="D209" s="75"/>
      <c r="E209" s="75"/>
      <c r="F209" s="75"/>
      <c r="G209" s="75"/>
      <c r="H209" s="75"/>
    </row>
    <row r="210" spans="2:8" x14ac:dyDescent="0.3">
      <c r="B210" s="75">
        <v>205</v>
      </c>
      <c r="C210" s="75"/>
      <c r="D210" s="75"/>
      <c r="E210" s="75"/>
      <c r="F210" s="75"/>
      <c r="G210" s="75"/>
      <c r="H210" s="75"/>
    </row>
    <row r="211" spans="2:8" x14ac:dyDescent="0.3">
      <c r="B211" s="75">
        <v>206</v>
      </c>
      <c r="C211" s="75"/>
      <c r="D211" s="75"/>
      <c r="E211" s="75"/>
      <c r="F211" s="75"/>
      <c r="G211" s="75"/>
      <c r="H211" s="75"/>
    </row>
    <row r="212" spans="2:8" x14ac:dyDescent="0.3">
      <c r="B212" s="75">
        <v>207</v>
      </c>
      <c r="C212" s="75"/>
      <c r="D212" s="75"/>
      <c r="E212" s="75"/>
      <c r="F212" s="75"/>
      <c r="G212" s="75"/>
      <c r="H212" s="75"/>
    </row>
    <row r="213" spans="2:8" x14ac:dyDescent="0.3">
      <c r="B213" s="75">
        <v>208</v>
      </c>
      <c r="C213" s="75"/>
      <c r="D213" s="75"/>
      <c r="E213" s="75"/>
      <c r="F213" s="75"/>
      <c r="G213" s="75"/>
      <c r="H213" s="75"/>
    </row>
    <row r="214" spans="2:8" x14ac:dyDescent="0.3">
      <c r="B214" s="75">
        <v>209</v>
      </c>
      <c r="C214" s="75"/>
      <c r="D214" s="75"/>
      <c r="E214" s="75"/>
      <c r="F214" s="75"/>
      <c r="G214" s="75"/>
      <c r="H214" s="75"/>
    </row>
    <row r="215" spans="2:8" x14ac:dyDescent="0.3">
      <c r="B215" s="75">
        <v>210</v>
      </c>
      <c r="C215" s="75"/>
      <c r="D215" s="75"/>
      <c r="E215" s="75"/>
      <c r="F215" s="75"/>
      <c r="G215" s="75"/>
      <c r="H215" s="75"/>
    </row>
    <row r="216" spans="2:8" x14ac:dyDescent="0.3">
      <c r="B216" s="75">
        <v>211</v>
      </c>
      <c r="C216" s="75"/>
      <c r="D216" s="75"/>
      <c r="E216" s="75"/>
      <c r="F216" s="75"/>
      <c r="G216" s="75"/>
      <c r="H216" s="75"/>
    </row>
    <row r="217" spans="2:8" x14ac:dyDescent="0.3">
      <c r="B217" s="75">
        <v>212</v>
      </c>
      <c r="C217" s="75"/>
      <c r="D217" s="75"/>
      <c r="E217" s="75"/>
      <c r="F217" s="75"/>
      <c r="G217" s="75"/>
      <c r="H217" s="75"/>
    </row>
    <row r="218" spans="2:8" x14ac:dyDescent="0.3">
      <c r="B218" s="75">
        <v>213</v>
      </c>
      <c r="C218" s="75"/>
      <c r="D218" s="75"/>
      <c r="E218" s="75"/>
      <c r="F218" s="75"/>
      <c r="G218" s="75"/>
      <c r="H218" s="75"/>
    </row>
    <row r="219" spans="2:8" x14ac:dyDescent="0.3">
      <c r="B219" s="75">
        <v>214</v>
      </c>
      <c r="C219" s="75"/>
      <c r="D219" s="75"/>
      <c r="E219" s="75"/>
      <c r="F219" s="75"/>
      <c r="G219" s="75"/>
      <c r="H219" s="75"/>
    </row>
    <row r="220" spans="2:8" x14ac:dyDescent="0.3">
      <c r="B220" s="75">
        <v>215</v>
      </c>
      <c r="C220" s="75"/>
      <c r="D220" s="75"/>
      <c r="E220" s="75"/>
      <c r="F220" s="75"/>
      <c r="G220" s="75"/>
      <c r="H220" s="75"/>
    </row>
    <row r="221" spans="2:8" x14ac:dyDescent="0.3">
      <c r="B221" s="75">
        <v>216</v>
      </c>
      <c r="C221" s="75"/>
      <c r="D221" s="75"/>
      <c r="E221" s="75"/>
      <c r="F221" s="75"/>
      <c r="G221" s="75"/>
      <c r="H221" s="75"/>
    </row>
    <row r="222" spans="2:8" x14ac:dyDescent="0.3">
      <c r="B222" s="75">
        <v>217</v>
      </c>
      <c r="C222" s="75"/>
      <c r="D222" s="75"/>
      <c r="E222" s="75"/>
      <c r="F222" s="75"/>
      <c r="G222" s="75"/>
      <c r="H222" s="75"/>
    </row>
    <row r="223" spans="2:8" x14ac:dyDescent="0.3">
      <c r="B223" s="75">
        <v>218</v>
      </c>
      <c r="C223" s="75"/>
      <c r="D223" s="75"/>
      <c r="E223" s="75"/>
      <c r="F223" s="75"/>
      <c r="G223" s="75"/>
      <c r="H223" s="75"/>
    </row>
    <row r="224" spans="2:8" x14ac:dyDescent="0.3">
      <c r="B224" s="75">
        <v>219</v>
      </c>
      <c r="C224" s="75"/>
      <c r="D224" s="75"/>
      <c r="E224" s="75"/>
      <c r="F224" s="75"/>
      <c r="G224" s="75"/>
      <c r="H224" s="75"/>
    </row>
    <row r="225" spans="2:8" x14ac:dyDescent="0.3">
      <c r="B225" s="75">
        <v>220</v>
      </c>
      <c r="C225" s="75"/>
      <c r="D225" s="75"/>
      <c r="E225" s="75"/>
      <c r="F225" s="75"/>
      <c r="G225" s="75"/>
      <c r="H225" s="75"/>
    </row>
    <row r="226" spans="2:8" x14ac:dyDescent="0.3">
      <c r="B226" s="75">
        <v>221</v>
      </c>
      <c r="C226" s="75"/>
      <c r="D226" s="75"/>
      <c r="E226" s="75"/>
      <c r="F226" s="75"/>
      <c r="G226" s="75"/>
      <c r="H226" s="75"/>
    </row>
    <row r="227" spans="2:8" x14ac:dyDescent="0.3">
      <c r="B227" s="75">
        <v>222</v>
      </c>
      <c r="C227" s="75"/>
      <c r="D227" s="75"/>
      <c r="E227" s="75"/>
      <c r="F227" s="75"/>
      <c r="G227" s="75"/>
      <c r="H227" s="75"/>
    </row>
    <row r="228" spans="2:8" x14ac:dyDescent="0.3">
      <c r="B228" s="75">
        <v>223</v>
      </c>
      <c r="C228" s="75"/>
      <c r="D228" s="75"/>
      <c r="E228" s="75"/>
      <c r="F228" s="75"/>
      <c r="G228" s="75"/>
      <c r="H228" s="75"/>
    </row>
    <row r="229" spans="2:8" x14ac:dyDescent="0.3">
      <c r="B229" s="75">
        <v>224</v>
      </c>
      <c r="C229" s="75"/>
      <c r="D229" s="75"/>
      <c r="E229" s="75"/>
      <c r="F229" s="75"/>
      <c r="G229" s="75"/>
      <c r="H229" s="75"/>
    </row>
    <row r="230" spans="2:8" x14ac:dyDescent="0.3">
      <c r="B230" s="75">
        <v>225</v>
      </c>
      <c r="C230" s="75"/>
      <c r="D230" s="75"/>
      <c r="E230" s="75"/>
      <c r="F230" s="75"/>
      <c r="G230" s="75"/>
      <c r="H230" s="75"/>
    </row>
    <row r="231" spans="2:8" x14ac:dyDescent="0.3">
      <c r="B231" s="75">
        <v>226</v>
      </c>
      <c r="C231" s="75"/>
      <c r="D231" s="75"/>
      <c r="E231" s="75"/>
      <c r="F231" s="75"/>
      <c r="G231" s="75"/>
      <c r="H231" s="75"/>
    </row>
    <row r="232" spans="2:8" x14ac:dyDescent="0.3">
      <c r="B232" s="75">
        <v>227</v>
      </c>
      <c r="C232" s="75"/>
      <c r="D232" s="75"/>
      <c r="E232" s="75"/>
      <c r="F232" s="75"/>
      <c r="G232" s="75"/>
      <c r="H232" s="75"/>
    </row>
    <row r="233" spans="2:8" x14ac:dyDescent="0.3">
      <c r="B233" s="75">
        <v>228</v>
      </c>
      <c r="C233" s="75"/>
      <c r="D233" s="75"/>
      <c r="E233" s="75"/>
      <c r="F233" s="75"/>
      <c r="G233" s="75"/>
      <c r="H233" s="75"/>
    </row>
    <row r="234" spans="2:8" x14ac:dyDescent="0.3">
      <c r="B234" s="75">
        <v>229</v>
      </c>
      <c r="C234" s="75"/>
      <c r="D234" s="75"/>
      <c r="E234" s="75"/>
      <c r="F234" s="75"/>
      <c r="G234" s="75"/>
      <c r="H234" s="75"/>
    </row>
    <row r="235" spans="2:8" x14ac:dyDescent="0.3">
      <c r="B235" s="75">
        <v>230</v>
      </c>
      <c r="C235" s="75"/>
      <c r="D235" s="75"/>
      <c r="E235" s="75"/>
      <c r="F235" s="75"/>
      <c r="G235" s="75"/>
      <c r="H235" s="75"/>
    </row>
    <row r="236" spans="2:8" x14ac:dyDescent="0.3">
      <c r="B236" s="75">
        <v>231</v>
      </c>
      <c r="C236" s="75"/>
      <c r="D236" s="75"/>
      <c r="E236" s="75"/>
      <c r="F236" s="75"/>
      <c r="G236" s="75"/>
      <c r="H236" s="75"/>
    </row>
    <row r="237" spans="2:8" x14ac:dyDescent="0.3">
      <c r="B237" s="75">
        <v>232</v>
      </c>
      <c r="C237" s="75"/>
      <c r="D237" s="75"/>
      <c r="E237" s="75"/>
      <c r="F237" s="75"/>
      <c r="G237" s="75"/>
      <c r="H237" s="75"/>
    </row>
    <row r="238" spans="2:8" x14ac:dyDescent="0.3">
      <c r="B238" s="75">
        <v>233</v>
      </c>
      <c r="C238" s="75"/>
      <c r="D238" s="75"/>
      <c r="E238" s="75"/>
      <c r="F238" s="75"/>
      <c r="G238" s="75"/>
      <c r="H238" s="75"/>
    </row>
    <row r="239" spans="2:8" x14ac:dyDescent="0.3">
      <c r="B239" s="75">
        <v>234</v>
      </c>
      <c r="C239" s="75"/>
      <c r="D239" s="75"/>
      <c r="E239" s="75"/>
      <c r="F239" s="75"/>
      <c r="G239" s="75"/>
      <c r="H239" s="75"/>
    </row>
    <row r="240" spans="2:8" x14ac:dyDescent="0.3">
      <c r="B240" s="75">
        <v>235</v>
      </c>
      <c r="C240" s="75"/>
      <c r="D240" s="75"/>
      <c r="E240" s="75"/>
      <c r="F240" s="75"/>
      <c r="G240" s="75"/>
      <c r="H240" s="75"/>
    </row>
    <row r="241" spans="2:8" x14ac:dyDescent="0.3">
      <c r="B241" s="75">
        <v>236</v>
      </c>
      <c r="C241" s="75"/>
      <c r="D241" s="75"/>
      <c r="E241" s="75"/>
      <c r="F241" s="75"/>
      <c r="G241" s="75"/>
      <c r="H241" s="75"/>
    </row>
    <row r="242" spans="2:8" x14ac:dyDescent="0.3">
      <c r="B242" s="75">
        <v>237</v>
      </c>
      <c r="C242" s="75"/>
      <c r="D242" s="75"/>
      <c r="E242" s="75"/>
      <c r="F242" s="75"/>
      <c r="G242" s="75"/>
      <c r="H242" s="75"/>
    </row>
    <row r="243" spans="2:8" x14ac:dyDescent="0.3">
      <c r="B243" s="75">
        <v>238</v>
      </c>
      <c r="C243" s="75"/>
      <c r="D243" s="75"/>
      <c r="E243" s="75"/>
      <c r="F243" s="75"/>
      <c r="G243" s="75"/>
      <c r="H243" s="75"/>
    </row>
    <row r="244" spans="2:8" x14ac:dyDescent="0.3">
      <c r="B244" s="75">
        <v>239</v>
      </c>
      <c r="C244" s="75"/>
      <c r="D244" s="75"/>
      <c r="E244" s="75"/>
      <c r="F244" s="75"/>
      <c r="G244" s="75"/>
      <c r="H244" s="75"/>
    </row>
    <row r="245" spans="2:8" x14ac:dyDescent="0.3">
      <c r="B245" s="75">
        <v>240</v>
      </c>
      <c r="C245" s="75"/>
      <c r="D245" s="75"/>
      <c r="E245" s="75"/>
      <c r="F245" s="75"/>
      <c r="G245" s="75"/>
      <c r="H245" s="75"/>
    </row>
    <row r="246" spans="2:8" x14ac:dyDescent="0.3">
      <c r="B246" s="75">
        <v>241</v>
      </c>
      <c r="C246" s="75"/>
      <c r="D246" s="75"/>
      <c r="E246" s="75"/>
      <c r="F246" s="75"/>
      <c r="G246" s="75"/>
      <c r="H246" s="75"/>
    </row>
    <row r="247" spans="2:8" x14ac:dyDescent="0.3">
      <c r="B247" s="75">
        <v>242</v>
      </c>
      <c r="C247" s="75"/>
      <c r="D247" s="75"/>
      <c r="E247" s="75"/>
      <c r="F247" s="75"/>
      <c r="G247" s="75"/>
      <c r="H247" s="75"/>
    </row>
    <row r="248" spans="2:8" x14ac:dyDescent="0.3">
      <c r="B248" s="75">
        <v>243</v>
      </c>
      <c r="C248" s="75"/>
      <c r="D248" s="75"/>
      <c r="E248" s="75"/>
      <c r="F248" s="75"/>
      <c r="G248" s="75"/>
      <c r="H248" s="75"/>
    </row>
    <row r="249" spans="2:8" x14ac:dyDescent="0.3">
      <c r="B249" s="75">
        <v>244</v>
      </c>
      <c r="C249" s="75"/>
      <c r="D249" s="75"/>
      <c r="E249" s="75"/>
      <c r="F249" s="75"/>
      <c r="G249" s="75"/>
      <c r="H249" s="75"/>
    </row>
    <row r="250" spans="2:8" x14ac:dyDescent="0.3">
      <c r="B250" s="75">
        <v>245</v>
      </c>
      <c r="C250" s="75"/>
      <c r="D250" s="75"/>
      <c r="E250" s="75"/>
      <c r="F250" s="75"/>
      <c r="G250" s="75"/>
      <c r="H250" s="75"/>
    </row>
    <row r="251" spans="2:8" x14ac:dyDescent="0.3">
      <c r="B251" s="75">
        <v>246</v>
      </c>
      <c r="C251" s="75"/>
      <c r="D251" s="75"/>
      <c r="E251" s="75"/>
      <c r="F251" s="75"/>
      <c r="G251" s="75"/>
      <c r="H251" s="75"/>
    </row>
    <row r="252" spans="2:8" x14ac:dyDescent="0.3">
      <c r="B252" s="75">
        <v>247</v>
      </c>
      <c r="C252" s="75"/>
      <c r="D252" s="75"/>
      <c r="E252" s="75"/>
      <c r="F252" s="75"/>
      <c r="G252" s="75"/>
      <c r="H252" s="75"/>
    </row>
    <row r="253" spans="2:8" x14ac:dyDescent="0.3">
      <c r="B253" s="75">
        <v>248</v>
      </c>
      <c r="C253" s="75"/>
      <c r="D253" s="75"/>
      <c r="E253" s="75"/>
      <c r="F253" s="75"/>
      <c r="G253" s="75"/>
      <c r="H253" s="75"/>
    </row>
    <row r="254" spans="2:8" x14ac:dyDescent="0.3">
      <c r="B254" s="75">
        <v>249</v>
      </c>
      <c r="C254" s="75"/>
      <c r="D254" s="75"/>
      <c r="E254" s="75"/>
      <c r="F254" s="75"/>
      <c r="G254" s="75"/>
      <c r="H254" s="75"/>
    </row>
    <row r="255" spans="2:8" x14ac:dyDescent="0.3">
      <c r="B255" s="75">
        <v>250</v>
      </c>
      <c r="C255" s="75"/>
      <c r="D255" s="75"/>
      <c r="E255" s="75"/>
      <c r="F255" s="75"/>
      <c r="G255" s="75"/>
      <c r="H255" s="75"/>
    </row>
  </sheetData>
  <sheetProtection sheet="1" objects="1" scenarios="1" selectLockedCells="1"/>
  <phoneticPr fontId="32" type="noConversion"/>
  <hyperlinks>
    <hyperlink ref="H6" r:id="rId1" display="info@e-Boekhouden.nl" xr:uid="{00000000-0004-0000-0A00-000000000000}"/>
  </hyperlinks>
  <pageMargins left="0.7" right="0.7" top="0.75" bottom="0.75" header="0.3" footer="0.3"/>
  <pageSetup paperSize="9" orientation="portrait" horizontalDpi="4294967295" verticalDpi="4294967295" r:id="rId2"/>
  <headerFooter>
    <oddFooter>&amp;C_x000D_&amp;1#&amp;"Calibri"&amp;10&amp;K000000 Knab Internal</oddFoot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J47"/>
  <sheetViews>
    <sheetView showGridLines="0" showRowColHeaders="0" workbookViewId="0">
      <selection activeCell="C15" sqref="C15"/>
    </sheetView>
  </sheetViews>
  <sheetFormatPr defaultColWidth="9" defaultRowHeight="13" x14ac:dyDescent="0.3"/>
  <cols>
    <col min="1" max="1" width="3.8984375" customWidth="1"/>
    <col min="2" max="2" width="20.09765625" customWidth="1"/>
    <col min="3" max="3" width="56.3984375" customWidth="1"/>
    <col min="10" max="10" width="5.3984375" customWidth="1"/>
  </cols>
  <sheetData>
    <row r="1" spans="1:10" ht="23.5" x14ac:dyDescent="0.55000000000000004">
      <c r="A1" s="14"/>
      <c r="B1" s="20" t="s">
        <v>168</v>
      </c>
      <c r="C1" s="14"/>
      <c r="D1" s="14"/>
      <c r="E1" s="14"/>
      <c r="F1" s="14"/>
      <c r="G1" s="14"/>
      <c r="H1" s="14"/>
      <c r="I1" s="14"/>
      <c r="J1" s="14"/>
    </row>
    <row r="2" spans="1:10" x14ac:dyDescent="0.3">
      <c r="A2" s="14"/>
      <c r="B2" s="14"/>
      <c r="C2" s="14"/>
      <c r="D2" s="14"/>
      <c r="E2" s="14"/>
      <c r="F2" s="14"/>
      <c r="G2" s="14"/>
      <c r="H2" s="14"/>
      <c r="I2" s="14"/>
      <c r="J2" s="14"/>
    </row>
    <row r="3" spans="1:10" x14ac:dyDescent="0.3">
      <c r="A3" s="14"/>
      <c r="B3" s="15"/>
      <c r="C3" s="14"/>
      <c r="D3" s="14"/>
      <c r="E3" s="14"/>
      <c r="F3" s="14"/>
      <c r="G3" s="14"/>
      <c r="H3" s="14"/>
      <c r="I3" s="14"/>
      <c r="J3" s="14"/>
    </row>
    <row r="5" spans="1:10" ht="15.5" x14ac:dyDescent="0.35">
      <c r="B5" s="100"/>
      <c r="C5" s="101"/>
    </row>
    <row r="6" spans="1:10" ht="15.5" x14ac:dyDescent="0.35">
      <c r="B6" s="16"/>
      <c r="C6" s="101"/>
      <c r="F6" s="4"/>
    </row>
    <row r="7" spans="1:10" ht="15.5" x14ac:dyDescent="0.35">
      <c r="B7" s="16"/>
      <c r="C7" s="101"/>
    </row>
    <row r="8" spans="1:10" ht="16.5" customHeight="1" x14ac:dyDescent="0.35">
      <c r="B8" s="16"/>
      <c r="C8" s="17"/>
    </row>
    <row r="9" spans="1:10" ht="15.5" x14ac:dyDescent="0.35">
      <c r="B9" s="16"/>
      <c r="C9" s="102"/>
      <c r="F9" s="4"/>
    </row>
    <row r="10" spans="1:10" ht="15.5" x14ac:dyDescent="0.35">
      <c r="B10" s="16"/>
      <c r="C10" s="102"/>
      <c r="F10" s="4"/>
    </row>
    <row r="11" spans="1:10" ht="15.5" x14ac:dyDescent="0.35">
      <c r="B11" s="36" t="s">
        <v>169</v>
      </c>
      <c r="C11" s="217" t="s">
        <v>189</v>
      </c>
    </row>
    <row r="12" spans="1:10" ht="15.5" x14ac:dyDescent="0.35">
      <c r="B12" s="16"/>
      <c r="C12" s="135"/>
    </row>
    <row r="13" spans="1:10" ht="15.5" x14ac:dyDescent="0.35">
      <c r="B13" s="36" t="s">
        <v>170</v>
      </c>
      <c r="C13" s="217"/>
    </row>
    <row r="14" spans="1:10" ht="15.5" x14ac:dyDescent="0.35">
      <c r="B14" s="16"/>
      <c r="C14" s="192"/>
    </row>
    <row r="15" spans="1:10" ht="15.5" x14ac:dyDescent="0.35">
      <c r="B15" s="36" t="s">
        <v>171</v>
      </c>
      <c r="C15" s="218"/>
    </row>
    <row r="16" spans="1:10" ht="15.5" x14ac:dyDescent="0.35">
      <c r="B16" s="16"/>
      <c r="C16" s="102"/>
    </row>
    <row r="17" spans="2:3" ht="15.5" x14ac:dyDescent="0.35">
      <c r="B17" s="16"/>
      <c r="C17" s="103"/>
    </row>
    <row r="18" spans="2:3" ht="15.5" x14ac:dyDescent="0.35">
      <c r="B18" s="16"/>
      <c r="C18" s="83"/>
    </row>
    <row r="19" spans="2:3" ht="15.5" x14ac:dyDescent="0.35">
      <c r="B19" s="16"/>
      <c r="C19" s="104"/>
    </row>
    <row r="20" spans="2:3" ht="15.5" x14ac:dyDescent="0.35">
      <c r="B20" s="16"/>
      <c r="C20" s="105"/>
    </row>
    <row r="21" spans="2:3" x14ac:dyDescent="0.3">
      <c r="C21" s="134" t="s">
        <v>180</v>
      </c>
    </row>
    <row r="47" spans="2:2" x14ac:dyDescent="0.3">
      <c r="B47" t="s">
        <v>17</v>
      </c>
    </row>
  </sheetData>
  <sheetProtection sheet="1" objects="1" scenarios="1" formatCells="0" formatColumns="0" formatRows="0" insertHyperlinks="0" selectLockedCells="1" sort="0" autoFilter="0" pivotTables="0"/>
  <dataValidations count="1">
    <dataValidation type="list" allowBlank="1" showInputMessage="1" showErrorMessage="1" errorTitle="Kies een waarde uit de lijst" prompt="Vul hier in hoevaak u btw-aangifte doet. U ziet dan een tabblad met de cijfers over die periodes." sqref="C19" xr:uid="{00000000-0002-0000-0B00-000000000000}">
      <formula1>"Jaar,Kwartaal,Maand"</formula1>
    </dataValidation>
  </dataValidations>
  <hyperlinks>
    <hyperlink ref="C21" r:id="rId1" xr:uid="{00000000-0004-0000-0B00-000000000000}"/>
  </hyperlinks>
  <pageMargins left="0.7" right="0.7" top="0.75" bottom="0.75" header="0.3" footer="0.3"/>
  <pageSetup paperSize="9" orientation="portrait" horizontalDpi="4294967295" verticalDpi="4294967295" r:id="rId2"/>
  <headerFooter>
    <oddFooter>&amp;C_x000D_&amp;1#&amp;"Calibri"&amp;10&amp;K000000 Knab Internal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7</vt:i4>
      </vt:variant>
    </vt:vector>
  </HeadingPairs>
  <TitlesOfParts>
    <vt:vector size="19" baseType="lpstr">
      <vt:lpstr>Basisinstellingen</vt:lpstr>
      <vt:lpstr>Factuur maken</vt:lpstr>
      <vt:lpstr>Verkoop &amp; Opbrengsten</vt:lpstr>
      <vt:lpstr>Inkoop &amp; Uitgaven</vt:lpstr>
      <vt:lpstr>Beginbalans</vt:lpstr>
      <vt:lpstr>Categorieën</vt:lpstr>
      <vt:lpstr>Financieel overzicht</vt:lpstr>
      <vt:lpstr>BTW (maand)</vt:lpstr>
      <vt:lpstr>BTW (jaar)</vt:lpstr>
      <vt:lpstr>BTW (kwartaal)</vt:lpstr>
      <vt:lpstr>Relaties</vt:lpstr>
      <vt:lpstr>Exporteer naar e-Boekhouden.nl</vt:lpstr>
      <vt:lpstr>Aantal</vt:lpstr>
      <vt:lpstr>Betaalstatus</vt:lpstr>
      <vt:lpstr>Betalingsstatus</vt:lpstr>
      <vt:lpstr>btwtarieven</vt:lpstr>
      <vt:lpstr>grootboeks</vt:lpstr>
      <vt:lpstr>soort</vt:lpstr>
      <vt:lpstr>Statusofferte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Coen van de Sandt</dc:creator>
  <cp:lastModifiedBy>Ruud Hogenberg</cp:lastModifiedBy>
  <cp:lastPrinted>2026-01-14T18:40:49Z</cp:lastPrinted>
  <dcterms:created xsi:type="dcterms:W3CDTF">2010-02-20T17:18:42Z</dcterms:created>
  <dcterms:modified xsi:type="dcterms:W3CDTF">2026-01-14T20:35:06Z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93a896d-3e47-44c3-b439-2ca85ed2817e_Enabled">
    <vt:lpwstr>true</vt:lpwstr>
  </property>
  <property fmtid="{D5CDD505-2E9C-101B-9397-08002B2CF9AE}" pid="3" name="MSIP_Label_c93a896d-3e47-44c3-b439-2ca85ed2817e_SetDate">
    <vt:lpwstr>2025-01-28T12:52:46Z</vt:lpwstr>
  </property>
  <property fmtid="{D5CDD505-2E9C-101B-9397-08002B2CF9AE}" pid="4" name="MSIP_Label_c93a896d-3e47-44c3-b439-2ca85ed2817e_Method">
    <vt:lpwstr>Standard</vt:lpwstr>
  </property>
  <property fmtid="{D5CDD505-2E9C-101B-9397-08002B2CF9AE}" pid="5" name="MSIP_Label_c93a896d-3e47-44c3-b439-2ca85ed2817e_Name">
    <vt:lpwstr>c93a896d-3e47-44c3-b439-2ca85ed2817e</vt:lpwstr>
  </property>
  <property fmtid="{D5CDD505-2E9C-101B-9397-08002B2CF9AE}" pid="6" name="MSIP_Label_c93a896d-3e47-44c3-b439-2ca85ed2817e_SiteId">
    <vt:lpwstr>85daa278-99b8-4a25-a71f-837d7baa6f60</vt:lpwstr>
  </property>
  <property fmtid="{D5CDD505-2E9C-101B-9397-08002B2CF9AE}" pid="7" name="MSIP_Label_c93a896d-3e47-44c3-b439-2ca85ed2817e_ActionId">
    <vt:lpwstr>781fa017-891b-40e8-b458-2bb12ba78d4f</vt:lpwstr>
  </property>
  <property fmtid="{D5CDD505-2E9C-101B-9397-08002B2CF9AE}" pid="8" name="MSIP_Label_c93a896d-3e47-44c3-b439-2ca85ed2817e_ContentBits">
    <vt:lpwstr>2</vt:lpwstr>
  </property>
</Properties>
</file>